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caden/ClaudeCode/excel-games/"/>
    </mc:Choice>
  </mc:AlternateContent>
  <xr:revisionPtr revIDLastSave="0" documentId="13_ncr:1_{407A303A-0D4F-6243-B769-8951B0404625}" xr6:coauthVersionLast="47" xr6:coauthVersionMax="47" xr10:uidLastSave="{00000000-0000-0000-0000-000000000000}"/>
  <bookViews>
    <workbookView xWindow="4360" yWindow="660" windowWidth="27500" windowHeight="20140" xr2:uid="{6D359C58-4866-C447-A6CE-B19E123D3717}"/>
  </bookViews>
  <sheets>
    <sheet name="Sheet1" sheetId="1" r:id="rId1"/>
    <sheet name="Coach" sheetId="11" r:id="rId16"/>
    <sheet name="piecetype" sheetId="8" r:id="rId2"/>
    <sheet name="input handling" sheetId="2" r:id="rId3"/>
    <sheet name="inputsimplified" sheetId="7" r:id="rId4"/>
    <sheet name="livegame" sheetId="6" r:id="rId5"/>
    <sheet name="Logs" sheetId="9" r:id="rId6"/>
    <sheet name="base" sheetId="4" r:id="rId7"/>
    <sheet name="Sheet5" sheetId="5" r:id="rId8"/>
    <sheet name="Engine" sheetId="10" r:id="rId15"/>
  </sheets>
  <definedNames>
    <definedName name="xGT">_xlfn.LAMBDA(_xlpm.bd,_xlpm.r,_xlpm.c,IF(OR(_xlpm.r&lt;1,_xlpm.r&gt;8,_xlpm.c&lt;1,_xlpm.c&gt;8),"##",INDEX(_xlpm.bd,_xlpm.r,_xlpm.c)))</definedName>
    <definedName name="xVAL">_xlfn.LAMBDA(_xlpm.pc,IF(OR(_xlpm.pc="",_xlpm.pc="##"),0,_xlfn.SWITCH(LEFT(_xlpm.pc,1),"p",100,"n",320,"b",330,"r",500,"q",900,"k",20000,0)))</definedName>
    <definedName name="xPN">_xlfn.LAMBDA(_xlpm.pc,_xlfn.SWITCH(LEFT(_xlpm.pc,1),"p","Pawn","n","Knight","b","Bishop","r","Rook","q","Queen","k","King",""))</definedName>
    <definedName name="xGLY">_xlfn.LAMBDA(_xlpm.pc,_xlfn.SWITCH(_xlpm.pc,"k1","♔","q1","♕","r1","♖","b1","♗","n1","♘","p1","♙","k2","♚","q2","♛","r2","♜","b2","♝","n2","♞","p2","♟",""))</definedName>
    <definedName name="xSQ">_xlfn.LAMBDA(_xlpm.r,_xlpm.c,CHAR(64+_xlpm.c)&amp;_xlpm.r)</definedName>
    <definedName name="xPSQ">_xlfn.LAMBDA(_xlpm.pc,_xlpm.r,_xlpm.c,_xlfn.LET(_xlpm.t,LEFT(_xlpm.pc,1),_xlpm.mt,RIGHT(_xlpm.pc,1),_xlpm.rk,IF(_xlpm.mt="1",_xlpm.r,9-_xlpm.r),_xlpm.fl,3.5-ABS(_xlpm.c-4.5),_xlpm.rc,3.5-ABS(_xlpm.r-4.5),_xlfn.SWITCH(_xlpm.t,"p",(_xlpm.rk-2)*(4+_xlpm.fl*3),"n",(_xlpm.fl+_xlpm.rc)*4-IF(_xlpm.rk=1,25,0),"b",(_xlpm.fl+_xlpm.rc)*3-IF(_xlpm.rk=1,20,0),"r",IF(_xlpm.rk=7,25,0)+IF(OR(_xlpm.c=4,_xlpm.c=5),10,0),"q",(_xlpm.fl+_xlpm.rc)*2,"k",IF(_xlpm.rk&lt;=2,12+IF(OR(_xlpm.c&lt;=2,_xlpm.c&gt;=7),8,0),-12*(_xlpm.rk-1)),0)))</definedName>
    <definedName name="xBETW">_xlfn.LAMBDA(_xlpm.bd,_xlpm.fr,_xlpm.fc,_xlpm.tr,_xlpm.tc,_xlfn.LET(_xlpm.sr,SIGN(_xlpm.tr-_xlpm.fr),_xlpm.sc,SIGN(_xlpm.tc-_xlpm.fc),_xlpm.d,MAX(ABS(_xlpm.tr-_xlpm.fr),ABS(_xlpm.tc-_xlpm.fc)),IF(_xlpm.d&lt;=1,TRUE,_xlfn.REDUCE(TRUE,_xlfn.SEQUENCE(_xlpm.d-1),_xlfn.LAMBDA(_xlpm.a,_xlpm.k,AND(_xlpm.a,xGT(_xlpm.bd,_xlpm.fr+_xlpm.sr*_xlpm.k,_xlpm.fc+_xlpm.sc*_xlpm.k)=""))))))</definedName>
    <definedName name="xPL">_xlfn.LAMBDA(_xlpm.bd,_xlpm.fr,_xlpm.fc,_xlpm.tr,_xlpm.tc,_xlfn.LET(_xlpm.pc,xGT(_xlpm.bd,_xlpm.fr,_xlpm.fc),_xlpm.t,LEFT(_xlpm.pc,1),_xlpm.mt,RIGHT(_xlpm.pc,1),_xlpm.fw,IF(_xlpm.mt="1",1,-1),_xlpm.st,IF(_xlpm.mt="1",2,7),_xlpm.dr,_xlpm.tr-_xlpm.fr,_xlpm.dc,_xlpm.tc-_xlpm.fc,_xlpm.ar,ABS(_xlpm.dr),_xlpm.ac,ABS(_xlpm.dc),_xlpm.tv,xGT(_xlpm.bd,_xlpm.tr,_xlpm.tc),_xlpm.em,_xlpm.tv="",_xlpm.en,AND(_xlpm.tv&lt;&gt;"",_xlpm.tv&lt;&gt;"##",RIGHT(_xlpm.tv,1)&lt;&gt;_xlpm.mt),_xlpm.ok,OR(_xlpm.em,_xlpm.en),IF(OR(_xlpm.pc="",_xlpm.pc="##",_xlpm.tr&lt;1,_xlpm.tr&gt;8,_xlpm.tc&lt;1,_xlpm.tc&gt;8,AND(_xlpm.dr=0,_xlpm.dc=0)),FALSE,IF(_xlpm.t="p",OR(AND(_xlpm.dc=0,_xlpm.dr=_xlpm.fw,_xlpm.em),AND(_xlpm.dc=0,_xlpm.dr=2*_xlpm.fw,_xlpm.fr=_xlpm.st,_xlpm.em,xGT(_xlpm.bd,_xlpm.fr+_xlpm.fw,_xlpm.fc)=""),AND(_xlpm.ac=1,_xlpm.dr=_xlpm.fw,_xlpm.en)),IF(_xlpm.t="n",AND(OR(AND(_xlpm.ar=2,_xlpm.ac=1),AND(_xlpm.ar=1,_xlpm.ac=2)),_xlpm.ok),IF(_xlpm.t="k",AND(_xlpm.ar&lt;=1,_xlpm.ac&lt;=1,_xlpm.ok),IF(_xlpm.t="r",AND(OR(_xlpm.dr=0,_xlpm.dc=0),_xlpm.ok,xBETW(_xlpm.bd,_xlpm.fr,_xlpm.fc,_xlpm.tr,_xlpm.tc)),IF(_xlpm.t="b",AND(_xlpm.ar=_xlpm.ac,_xlpm.ok,xBETW(_xlpm.bd,_xlpm.fr,_xlpm.fc,_xlpm.tr,_xlpm.tc)),IF(_xlpm.t="q",AND(OR(_xlpm.dr=0,_xlpm.dc=0,_xlpm.ar=_xlpm.ac),_xlpm.ok,xBETW(_xlpm.bd,_xlpm.fr,_xlpm.fc,_xlpm.tr,_xlpm.tc)),FALSE)))))))))</definedName>
    <definedName name="xRAY">_xlfn.LAMBDA(_xlpm.bd,_xlpm.tr,_xlpm.tc,_xlpm.dr,_xlpm.dc,_xlpm.pat,INDEX(_xlfn.REDUCE(_xlfn.HSTACK(0,99999),_xlfn.SEQUENCE(7),_xlfn.LAMBDA(_xlpm.a,_xlpm.k,_xlfn.LET(_xlpm.d,INDEX(_xlpm.a,1,1),_xlpm.rr,_xlpm.tr+_xlpm.dr*_xlpm.k,_xlpm.cc,_xlpm.tc+_xlpm.dc*_xlpm.k,_xlpm.p,xGT(_xlpm.bd,_xlpm.rr,_xlpm.cc),IF(OR(_xlpm.d=1,_xlpm.p="##"),_xlpm.a,IF(_xlpm.p&lt;&gt;"",_xlfn.HSTACK(1,IF(ISNUMBER(SEARCH("|"&amp;_xlpm.p&amp;"|",_xlpm.pat)),xVAL(_xlpm.p),99999)),_xlpm.a))))),1,2))</definedName>
    <definedName name="xMINA">_xlfn.LAMBDA(_xlpm.bd,_xlpm.tr,_xlpm.tc,_xlpm.by,_xlfn.LET(_xlpm.ef,IF(_xlpm.by="1",1,-1),_xlpm.n,"n"&amp;_xlpm.by,_xlpm.kg,"k"&amp;_xlpm.by,_xlpm.pw,"p"&amp;_xlpm.by,_xlpm.rq,"|r"&amp;_xlpm.by&amp;"|q"&amp;_xlpm.by&amp;"|",_xlpm.bq,"|b"&amp;_xlpm.by&amp;"|q"&amp;_xlpm.by&amp;"|",_xlpm.vn,IF(OR(xGT(_xlpm.bd,_xlpm.tr-2,_xlpm.tc-1)=_xlpm.n,xGT(_xlpm.bd,_xlpm.tr-2,_xlpm.tc+1)=_xlpm.n,xGT(_xlpm.bd,_xlpm.tr-1,_xlpm.tc-2)=_xlpm.n,xGT(_xlpm.bd,_xlpm.tr-1,_xlpm.tc+2)=_xlpm.n,xGT(_xlpm.bd,_xlpm.tr+1,_xlpm.tc-2)=_xlpm.n,xGT(_xlpm.bd,_xlpm.tr+1,_xlpm.tc+2)=_xlpm.n,xGT(_xlpm.bd,_xlpm.tr+2,_xlpm.tc-1)=_xlpm.n,xGT(_xlpm.bd,_xlpm.tr+2,_xlpm.tc+1)=_xlpm.n),320,99999),_xlpm.vk,IF(OR(xGT(_xlpm.bd,_xlpm.tr-1,_xlpm.tc-1)=_xlpm.kg,xGT(_xlpm.bd,_xlpm.tr-1,_xlpm.tc)=_xlpm.kg,xGT(_xlpm.bd,_xlpm.tr-1,_xlpm.tc+1)=_xlpm.kg,xGT(_xlpm.bd,_xlpm.tr,_xlpm.tc-1)=_xlpm.kg,xGT(_xlpm.bd,_xlpm.tr,_xlpm.tc+1)=_xlpm.kg,xGT(_xlpm.bd,_xlpm.tr+1,_xlpm.tc-1)=_xlpm.kg,xGT(_xlpm.bd,_xlpm.tr+1,_xlpm.tc)=_xlpm.kg,xGT(_xlpm.bd,_xlpm.tr+1,_xlpm.tc+1)=_xlpm.kg),20000,99999),_xlpm.vp,IF(OR(xGT(_xlpm.bd,_xlpm.tr-_xlpm.ef,_xlpm.tc-1)=_xlpm.pw,xGT(_xlpm.bd,_xlpm.tr-_xlpm.ef,_xlpm.tc+1)=_xlpm.pw),100,99999),_xlpm.m,MIN(_xlpm.vn,_xlpm.vk,_xlpm.vp,xRAY(_xlpm.bd,_xlpm.tr,_xlpm.tc,-1,0,_xlpm.rq),xRAY(_xlpm.bd,_xlpm.tr,_xlpm.tc,1,0,_xlpm.rq),xRAY(_xlpm.bd,_xlpm.tr,_xlpm.tc,0,-1,_xlpm.rq),xRAY(_xlpm.bd,_xlpm.tr,_xlpm.tc,0,1,_xlpm.rq),xRAY(_xlpm.bd,_xlpm.tr,_xlpm.tc,-1,-1,_xlpm.bq),xRAY(_xlpm.bd,_xlpm.tr,_xlpm.tc,-1,1,_xlpm.bq),xRAY(_xlpm.bd,_xlpm.tr,_xlpm.tc,1,-1,_xlpm.bq),xRAY(_xlpm.bd,_xlpm.tr,_xlpm.tc,1,1,_xlpm.bq)),IF(_xlpm.m&gt;=99999,0,_xlpm.m)))</definedName>
    <definedName name="xATT">_xlfn.LAMBDA(_xlpm.bd,_xlpm.tr,_xlpm.tc,_xlpm.by,xMINA(_xlpm.bd,_xlpm.tr,_xlpm.tc,_xlpm.by)&gt;0)</definedName>
    <definedName name="xSIM">_xlfn.LAMBDA(_xlpm.bd,_xlpm.fr,_xlpm.fc,_xlpm.tr,_xlpm.tc,_xlfn.LET(_xlpm.p0,INDEX(_xlpm.bd,_xlpm.fr,_xlpm.fc),_xlpm.mt,RIGHT(_xlpm.p0,1),_xlpm.pc,IF(AND(LEFT(_xlpm.p0,1)="p",OR(AND(_xlpm.mt="1",_xlpm.tr=8),AND(_xlpm.mt="2",_xlpm.tr=1))),"q"&amp;_xlpm.mt,_xlpm.p0),_xlfn.MAKEARRAY(8,8,_xlfn.LAMBDA(_xlpm.rr,_xlpm.cc,IF(AND(_xlpm.rr=_xlpm.fr,_xlpm.cc=_xlpm.fc),"",IF(AND(_xlpm.rr=_xlpm.tr,_xlpm.cc=_xlpm.tc),_xlpm.pc,INDEX(_xlpm.bd,_xlpm.rr,_xlpm.cc)))))))</definedName>
    <definedName name="xKLOC">_xlfn.LAMBDA(_xlpm.bd,_xlpm.sd,MAX(_xlfn.MAKEARRAY(8,8,_xlfn.LAMBDA(_xlpm.r,_xlpm.c,IF(INDEX(_xlpm.bd,_xlpm.r,_xlpm.c)="k"&amp;_xlpm.sd,_xlpm.r*10+_xlpm.c,0)))))</definedName>
    <definedName name="xHANG">_xlfn.LAMBDA(_xlpm.bd,_xlpm.r,_xlpm.c,_xlfn.LET(_xlpm.pc,INDEX(_xlpm.bd,_xlpm.r,_xlpm.c),IF(OR(_xlpm.pc="",LEFT(_xlpm.pc,1)="k"),0,_xlfn.LET(_xlpm.mv,xVAL(_xlpm.pc),_xlpm.my,RIGHT(_xlpm.pc,1),_xlpm.en,IF(_xlpm.my="1","2","1"),_xlpm.a,xMINA(_xlpm.bd,_xlpm.r,_xlpm.c,_xlpm.en),_xlpm.d,xMINA(_xlpm.bd,_xlpm.r,_xlpm.c,_xlpm.my),IF(_xlpm.a=0,0,IF(_xlpm.d&gt;0,MAX(0,_xlpm.mv-_xlpm.a),_xlpm.mv))))))</definedName>
    <definedName name="xEVW">_xlfn.LAMBDA(_xlpm.bd,SUM(_xlfn.MAKEARRAY(8,8,_xlfn.LAMBDA(_xlpm.r,_xlpm.c,_xlfn.LET(_xlpm.pc,INDEX(_xlpm.bd,_xlpm.r,_xlpm.c),IF(_xlpm.pc="",0,(xVAL(_xlpm.pc)+xPSQ(_xlpm.pc,_xlpm.r,_xlpm.c))*IF(RIGHT(_xlpm.pc,1)="1",1,-1)))))))</definedName>
    <definedName name="xGEN">_xlfn.LAMBDA(_xlpm.bd,_xlpm.sd,_xlfn.LET(_xlpm.et,IF(_xlpm.sd="1","2","1"),_xlpm.sg,IF(_xlpm.sd="1",1,-1),_xlpm.kl,xKLOC(_xlpm.bd,_xlpm.sd),_xlpm.kr,INT(_xlpm.kl/10),_xlpm.kc,MOD(_xlpm.kl,10),_xlfn.REDUCE(_xlfn.HSTACK(-1000000000,-1000000000,0,0,0,0,0,0),_xlfn.SEQUENCE(64),_xlfn.LAMBDA(_xlpm.ac,_xlpm.i,_xlfn.LET(_xlpm.fr,INT((_xlpm.i-1)/8)+1,_xlpm.fc,MOD(_xlpm.i-1,8)+1,_xlpm.pc,INDEX(_xlpm.bd,_xlpm.fr,_xlpm.fc),IF(OR(_xlpm.pc="",RIGHT(_xlpm.pc,1)&lt;&gt;_xlpm.sd),_xlpm.ac,_xlfn.LET(_xlpm.hb,xHANG(_xlpm.bd,_xlpm.fr,_xlpm.fc),_xlpm.kp,LEFT(_xlpm.pc,1)="k",_xlfn.REDUCE(_xlpm.ac,_xlfn.SEQUENCE(64),_xlfn.LAMBDA(_xlpm.a2,_xlpm.j,_xlfn.LET(_xlpm.tr,INT((_xlpm.j-1)/8)+1,_xlpm.tc,MOD(_xlpm.j-1,8)+1,IF(NOT(xPL(_xlpm.bd,_xlpm.fr,_xlpm.fc,_xlpm.tr,_xlpm.tc)),_xlpm.a2,_xlfn.LET(_xlpm.sm,xSIM(_xlpm.bd,_xlpm.fr,_xlpm.fc,_xlpm.tr,_xlpm.tc),_xlpm.nr,IF(_xlpm.kp,_xlpm.tr,_xlpm.kr),_xlpm.nc,IF(_xlpm.kp,_xlpm.tc,_xlpm.kc),IF(AND(_xlpm.kl&gt;0,xATT(_xlpm.sm,_xlpm.nr,_xlpm.nc,_xlpm.et)),_xlpm.a2,_xlfn.LET(_xlpm.ha,xHANG(_xlpm.sm,_xlpm.tr,_xlpm.tc),_xlpm.ev,xEVW(_xlpm.sm),_xlpm.sc,_xlpm.sg*_xlpm.ev+_xlpm.hb-_xlpm.ha,_xlfn.VSTACK(_xlpm.a2,_xlfn.HSTACK(_xlpm.sc*1000+ROWS(_xlpm.a2),_xlpm.sc,_xlpm.fr,_xlpm.fc,_xlpm.tr,_xlpm.tc,_xlpm.ha,_xlpm.ev))))))))))))))))</definedName>
  </definedNames>
  <calcPr calcId="191029" iterate="1" iterateCount="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<sst xmlns="http://schemas.openxmlformats.org/spreadsheetml/2006/main" count="64" uniqueCount="42">
  <si>
    <t>started</t>
  </si>
  <si>
    <t>white</t>
  </si>
  <si>
    <t>r1</t>
  </si>
  <si>
    <t>n1</t>
  </si>
  <si>
    <t>b1</t>
  </si>
  <si>
    <t>k1</t>
  </si>
  <si>
    <t>q1</t>
  </si>
  <si>
    <t>p1</t>
  </si>
  <si>
    <t>r2</t>
  </si>
  <si>
    <t>n2</t>
  </si>
  <si>
    <t>p2</t>
  </si>
  <si>
    <t>b2</t>
  </si>
  <si>
    <t>isGamePieceYours:</t>
  </si>
  <si>
    <t>SelectedVal</t>
  </si>
  <si>
    <t>SelectedSpot</t>
  </si>
  <si>
    <t>playerTarget:</t>
  </si>
  <si>
    <t>targetType:</t>
  </si>
  <si>
    <t>C8</t>
  </si>
  <si>
    <t>N</t>
  </si>
  <si>
    <t>Rook</t>
  </si>
  <si>
    <t>Bishop</t>
  </si>
  <si>
    <t>Queen</t>
  </si>
  <si>
    <t>Knight</t>
  </si>
  <si>
    <t>Pawn</t>
  </si>
  <si>
    <t>King</t>
  </si>
  <si>
    <t>TRUTH</t>
  </si>
  <si>
    <t>target pos:</t>
  </si>
  <si>
    <t>can move:</t>
  </si>
  <si>
    <t>from pos:</t>
  </si>
  <si>
    <t>type:</t>
  </si>
  <si>
    <t>Moved:</t>
  </si>
  <si>
    <t>q2</t>
  </si>
  <si>
    <t>k2</t>
  </si>
  <si>
    <t>Shhhh. You shouldn’t be here…</t>
  </si>
  <si>
    <t>Castle</t>
  </si>
  <si>
    <t>Black</t>
  </si>
  <si>
    <t>White</t>
  </si>
  <si>
    <t>Value</t>
  </si>
  <si>
    <t>x</t>
  </si>
  <si>
    <t>LOGS</t>
  </si>
  <si>
    <t>. Means to</t>
  </si>
  <si>
    <t xml:space="preserve">
Tips: 
Blue indicates castling
Eat the enemy king to win
Todo:
En Passant only at right times
Pt. 1 of Caden's Microsoft Menagerie
© 2026 Cifyr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</si>
</sst>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numFmt numFmtId="165" formatCode="+0.00;\-0.00;0.00"/>
  </numFmts>
  <fonts count="20">
    <font>
      <sz val="12"/>
      <color theme="1"/>
      <name val="Aptos Narrow"/>
      <family val="2"/>
      <scheme val="minor"/>
    </font>
    <font>
      <sz val="24"/>
      <color rgb="FF000000"/>
      <name val="Aptos Narrow"/>
    </font>
    <font>
      <sz val="1"/>
      <color theme="0"/>
      <name val="Aptos Narrow"/>
      <family val="2"/>
      <scheme val="minor"/>
    </font>
    <font>
      <sz val="9"/>
      <color theme="1"/>
      <name val="Aptos Narrow"/>
      <family val="2"/>
      <scheme val="minor"/>
    </font>
    <font>
      <sz val="12"/>
      <color theme="0"/>
      <name val="Aptos Narrow"/>
      <family val="2"/>
      <scheme val="minor"/>
    </font>
    <font>
      <sz val="8"/>
      <name val="Aptos Narrow"/>
      <family val="2"/>
      <scheme val="minor"/>
    </font>
    <font>
      <sz val="72"/>
      <color theme="0"/>
      <name val="Aptos Narrow"/>
      <family val="2"/>
      <scheme val="minor"/>
    </font>
    <font>
      <b/>
      <sz val="12"/>
      <color theme="1"/>
      <name val="Aptos Narrow"/>
      <scheme val="minor"/>
    </font>
    <font>
      <sz val="26"/>
      <color rgb="FF171717"/>
      <name val="Aptos Narrow"/>
      <family val="2"/>
    </font>
    <font>
      <b/>
      <sz val="14"/>
      <color rgb="FFB11125"/>
      <name val="Aptos Narrow (Body)"/>
    </font>
    <font>
      <sz val="12"/>
      <color rgb="FFB11125"/>
      <name val="Aptos Narrow (Body)"/>
    </font>
    <font>
      <b/>
      <sz val="20"/>
      <color rgb="FFFFFFFF"/>
      <name val="Aptos Narrow"/>
    </font>
    <font>
      <b/>
      <sz val="11"/>
      <color rgb="FFFFFFFF"/>
      <name val="Aptos Narrow"/>
    </font>
    <font>
      <b/>
      <sz val="22"/>
      <color rgb="FF171717"/>
      <name val="Aptos Narrow"/>
    </font>
    <font>
      <sz val="11"/>
      <color rgb="FF6B6B6B"/>
      <name val="Aptos Narrow"/>
    </font>
    <font>
      <b/>
      <sz val="12"/>
      <color rgb="FFB11226"/>
      <name val="Aptos Narrow"/>
    </font>
    <font>
      <b/>
      <sz val="26"/>
      <color rgb="FFB11226"/>
      <name val="Aptos Narrow"/>
    </font>
    <font>
      <sz val="11"/>
      <color rgb="FF171717"/>
      <name val="Aptos Narrow"/>
    </font>
    <font>
      <b/>
      <sz val="11"/>
      <color rgb="FF171717"/>
      <name val="Aptos Narrow"/>
    </font>
    <font>
      <sz val="9"/>
      <color rgb="FF6B6B6B"/>
      <name val="Aptos Narrow"/>
    </font>
  </fonts>
  <fills count="9">
    <fill>
      <patternFill patternType="none"/>
    </fill>
    <fill>
      <patternFill patternType="gray125"/>
    </fill>
    <fill>
      <patternFill patternType="solid">
        <fgColor theme="0"/>
        <bgColor indexed="64"/>
      </patternFill>
    </fill>
    <fill>
      <patternFill patternType="solid">
        <fgColor rgb="FFF6F3F0"/>
        <bgColor indexed="64"/>
      </patternFill>
    </fill>
    <fill>
      <patternFill patternType="solid">
        <fgColor rgb="FFD8D2CB"/>
        <bgColor indexed="64"/>
      </patternFill>
    </fill>
    <fill>
      <patternFill patternType="solid">
        <fgColor rgb="FFB11226"/>
        <bgColor indexed="64"/>
      </patternFill>
    </fill>
    <fill>
      <patternFill patternType="solid">
        <fgColor rgb="FF171717"/>
        <bgColor indexed="64"/>
      </patternFill>
    </fill>
    <fill>
      <patternFill patternType="solid">
        <fgColor rgb="FFF4E6E7"/>
        <bgColor indexed="64"/>
      </patternFill>
    </fill>
    <fill>
      <patternFill patternType="solid">
        <fgColor rgb="FFE2401B"/>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rgb="FFE6E3E1"/>
      </bottom>
      <diagonal/>
    </border>
    <border>
      <left/>
      <right/>
      <top/>
      <bottom style="medium">
        <color rgb="FFB11226"/>
      </bottom>
      <diagonal/>
    </border>
  </borders>
  <cellStyleXfs count="1">
    <xf numFmtId="0" fontId="0" fillId="0" borderId="0"/>
  </cellStyleXfs>
  <cellXfs count="50">
    <xf numFmtId="0" fontId="0" fillId="0" borderId="0" xfId="0"/>
    <xf numFmtId="0" fontId="0" fillId="0" borderId="1" xfId="0" applyBorder="1"/>
    <xf numFmtId="0" fontId="0" fillId="0" borderId="0" xfId="0">
      <extLst>
        <ext xmlns:xfpb="http://schemas.microsoft.com/office/spreadsheetml/2022/featurepropertybag" uri="{C7286773-470A-42A8-94C5-96B5CB345126}">
          <xfpb:xfComplement i="0"/>
        </ext>
      </extLst>
    </xf>
    <xf numFmtId="164" fontId="2" fillId="0" borderId="1" xfId="0" applyNumberFormat="1" applyFont="1" applyBorder="1" applyAlignment="1">
      <alignment horizontal="left" vertical="top"/>
    </xf>
    <xf numFmtId="0" fontId="0" fillId="0" borderId="2" xfId="0" applyBorder="1"/>
    <xf numFmtId="0" fontId="3" fillId="0" borderId="0" xfId="0" applyFont="1"/>
    <xf numFmtId="164" fontId="0" fillId="0" borderId="0" xfId="0" applyNumberFormat="1"/>
    <xf numFmtId="164" fontId="0" fillId="2" borderId="1" xfId="0" applyNumberFormat="1" applyFill="1" applyBorder="1" applyAlignment="1">
      <alignment horizontal="left" vertical="top"/>
    </xf>
    <xf numFmtId="0" fontId="4" fillId="0" borderId="0" xfId="0" applyFont="1"/>
    <xf numFmtId="0" fontId="6" fillId="0" borderId="0" xfId="0" applyFont="1">
      <extLst>
        <ext xmlns:xfpb="http://schemas.microsoft.com/office/spreadsheetml/2022/featurepropertybag" uri="{C7286773-470A-42A8-94C5-96B5CB345126}">
          <xfpb:xfComplement i="0"/>
        </ext>
      </extLst>
    </xf>
    <xf numFmtId="164" fontId="0" fillId="2" borderId="0" xfId="0" applyNumberFormat="1" applyFill="1" applyAlignment="1">
      <alignment horizontal="left" vertical="top"/>
    </xf>
    <xf numFmtId="0" fontId="7" fillId="0" borderId="0" xfId="0" applyFont="1"/>
    <xf numFmtId="0" fontId="0" fillId="0" borderId="0" xfId="0" quotePrefix="1"/>
    <xf numFmtId="164" fontId="0" fillId="2" borderId="3" xfId="0" applyNumberFormat="1" applyFill="1" applyBorder="1" applyAlignment="1">
      <alignment horizontal="left" vertical="top"/>
    </xf>
    <xf numFmtId="0" fontId="0" fillId="0" borderId="3" xfId="0" applyBorder="1" applyAlignment="1">
      <alignment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center" vertical="center"/>
    </xf>
    <xf numFmtId="0" fontId="8" fillId="3" borderId="4" xfId="0" applyFont="1" applyFill="1" applyBorder="1" applyAlignment="1">
      <alignment horizontal="center" vertical="center"/>
    </xf>
    <xf numFmtId="0" fontId="8" fillId="4" borderId="5" xfId="0" applyFont="1" applyFill="1" applyBorder="1" applyAlignment="1">
      <alignment horizontal="center" vertical="center"/>
    </xf>
    <xf numFmtId="0" fontId="8" fillId="3" borderId="5" xfId="0" applyFont="1" applyFill="1" applyBorder="1" applyAlignment="1">
      <alignment horizontal="center" vertical="center"/>
    </xf>
    <xf numFmtId="0" fontId="8" fillId="4" borderId="6" xfId="0" applyFont="1" applyFill="1" applyBorder="1" applyAlignment="1">
      <alignment horizontal="center" vertical="center"/>
    </xf>
    <xf numFmtId="0" fontId="8" fillId="4" borderId="7" xfId="0" applyFont="1" applyFill="1" applyBorder="1" applyAlignment="1">
      <alignment horizontal="center" vertical="center"/>
    </xf>
    <xf numFmtId="0" fontId="8" fillId="3" borderId="0" xfId="0" applyFont="1" applyFill="1" applyBorder="1" applyAlignment="1">
      <alignment horizontal="center" vertical="center"/>
    </xf>
    <xf numFmtId="0" fontId="8" fillId="4" borderId="0"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9" xfId="0" applyFont="1" applyFill="1" applyBorder="1" applyAlignment="1">
      <alignment horizontal="center" vertical="center"/>
    </xf>
    <xf numFmtId="0" fontId="8" fillId="3" borderId="10" xfId="0" applyFont="1" applyFill="1" applyBorder="1" applyAlignment="1">
      <alignment horizontal="center" vertical="center"/>
    </xf>
    <xf numFmtId="0" fontId="8" fillId="4" borderId="10" xfId="0" applyFont="1" applyFill="1" applyBorder="1" applyAlignment="1">
      <alignment horizontal="center" vertical="center"/>
    </xf>
    <xf numFmtId="0" fontId="8" fillId="3" borderId="11" xfId="0" applyFont="1" applyFill="1" applyBorder="1" applyAlignment="1">
      <alignment horizontal="center" vertical="center"/>
    </xf>
    <xf numFmtId="0" fontId="9" fillId="0" borderId="0" xfId="0" applyFont="1" applyAlignment="1">
      <alignment horizontal="left" vertical="center"/>
    </xf>
    <xf numFmtId="0" fontId="10" fillId="0" borderId="0" xfId="0" applyFont="1" applyAlignment="1">
      <alignment horizontal="center" vertical="center"/>
    </xf>
    <xf numFmtId="0" fontId="13" fillId="0" borderId="0" xfId="0" applyFont="1" applyFill="1" applyBorder="1" applyAlignment="1" applyNumberFormat="1">
      <alignment horizontal="left" vertical="bottom"/>
    </xf>
    <xf numFmtId="0" fontId="11" fillId="5" borderId="0" xfId="0" applyFont="1" applyFill="1" applyBorder="1" applyAlignment="1" applyNumberFormat="1">
      <alignment horizontal="left" vertical="center"/>
    </xf>
    <xf numFmtId="0" fontId="12" fillId="6" borderId="0" xfId="0" applyFont="1" applyFill="1" applyBorder="1" applyAlignment="1" applyNumberFormat="1">
      <alignment horizontal="left" vertical="center"/>
    </xf>
    <xf numFmtId="0" fontId="17" fillId="0" borderId="12" xfId="0" applyFont="1" applyFill="1" applyBorder="1" applyAlignment="1" applyNumberFormat="1">
      <alignment horizontal="left" vertical="center"/>
    </xf>
    <xf numFmtId="0" fontId="18" fillId="0" borderId="12" xfId="0" applyFont="1" applyFill="1" applyBorder="1" applyAlignment="1" applyNumberFormat="1">
      <alignment horizontal="left" vertical="center"/>
    </xf>
    <xf numFmtId="0" fontId="14" fillId="0" borderId="0" xfId="0" applyFont="1" applyFill="1" applyBorder="1" applyAlignment="1" applyNumberFormat="1">
      <alignment horizontal="left" vertical="center"/>
    </xf>
    <xf numFmtId="0" fontId="16" fillId="0" borderId="0" xfId="0" applyFont="1" applyFill="1" applyBorder="1" applyAlignment="1" applyNumberFormat="1">
      <alignment horizontal="left" vertical="center"/>
    </xf>
    <xf numFmtId="0" fontId="15" fillId="0" borderId="0" xfId="0" applyFont="1" applyFill="1" applyBorder="1" applyAlignment="1" applyNumberFormat="1">
      <alignment horizontal="left" vertical="center"/>
    </xf>
    <xf numFmtId="0" fontId="19" fillId="0" borderId="0" xfId="0" applyFont="1" applyFill="1" applyBorder="1" applyAlignment="1" applyNumberFormat="1">
      <alignment horizontal="left" vertical="top" wrapText="1"/>
    </xf>
    <xf numFmtId="165" fontId="18" fillId="0" borderId="12" xfId="0" applyFont="1" applyFill="1" applyBorder="1" applyAlignment="1" applyNumberFormat="1">
      <alignment horizontal="right" vertical="center"/>
    </xf>
    <xf numFmtId="0" fontId="18" fillId="7" borderId="0" xfId="0" applyFont="1" applyFill="1" applyBorder="1" applyAlignment="1" applyNumberFormat="1">
      <alignment horizontal="left" vertical="center"/>
    </xf>
    <xf numFmtId="0" fontId="15" fillId="0" borderId="13" xfId="0" applyFont="1" applyFill="1" applyBorder="1" applyAlignment="1" applyNumberFormat="1">
      <alignment horizontal="left" vertical="center"/>
    </xf>
    <xf numFmtId="0" fontId="17" fillId="0" borderId="12" xfId="0" applyFont="1" applyFill="1" applyBorder="1" applyAlignment="1" applyNumberFormat="1">
      <alignment horizontal="left" vertical="center" wrapText="1"/>
    </xf>
    <xf numFmtId="0" fontId="17" fillId="0" borderId="0" xfId="0" applyFont="1" applyFill="1" applyBorder="1" applyAlignment="1" applyNumberFormat="1">
      <alignment horizontal="center" vertical="center"/>
    </xf>
    <xf numFmtId="0" fontId="18" fillId="0" borderId="0" xfId="0" applyFont="1" applyFill="1" applyBorder="1" applyAlignment="1" applyNumberFormat="1">
      <alignment horizontal="left" vertical="center"/>
    </xf>
  </cellXfs>
  <cellStyles count="1">
    <cellStyle name="Normal" xfId="0" builtinId="0"/>
  </cellStyles>
  <dxfs count="26">
    <dxf>
      <fill>
        <patternFill>
          <bgColor theme="9" tint="0.79998168889431442"/>
        </patternFill>
      </fill>
    </dxf>
    <dxf>
      <fill>
        <patternFill>
          <bgColor theme="9" tint="0.79998168889431442"/>
        </patternFill>
      </fill>
    </dxf>
    <dxf>
      <font>
        <color theme="0"/>
      </font>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5" tint="0.39994506668294322"/>
        </patternFill>
      </fill>
    </dxf>
    <dxf>
      <font>
        <color theme="6" tint="0.79998168889431442"/>
      </font>
      <fill>
        <patternFill>
          <bgColor theme="6" tint="0.79998168889431442"/>
        </patternFill>
      </fill>
    </dxf>
    <dxf>
      <font>
        <color theme="2" tint="-9.9948118533890809E-2"/>
      </font>
      <fill>
        <patternFill>
          <bgColor theme="2" tint="-9.9948118533890809E-2"/>
        </patternFill>
      </fill>
    </dxf>
    <dxf>
      <fill>
        <patternFill>
          <bgColor rgb="FFFFC7CE"/>
        </patternFill>
      </fill>
    </dxf>
    <dxf>
      <fill>
        <patternFill patternType="darkGrid">
          <fgColor theme="9" tint="0.39994506668294322"/>
          <bgColor theme="9" tint="0.59996337778862885"/>
        </patternFill>
      </fill>
      <border>
        <left style="thin">
          <color theme="1"/>
        </left>
        <right style="thin">
          <color theme="1"/>
        </right>
        <top style="thin">
          <color theme="1"/>
        </top>
        <bottom style="thin">
          <color theme="1"/>
        </bottom>
        <vertical/>
        <horizontal/>
      </border>
    </dxf>
    <dxf>
      <fill>
        <patternFill>
          <bgColor theme="7" tint="0.79998168889431442"/>
        </patternFill>
      </fill>
    </dxf>
  </dxfs>
  <tableStyles count="0" defaultTableStyle="TableStyleMedium2" defaultPivotStyle="PivotStyleLight16"/>
  <colors>
    <mruColors>
      <color rgb="FFB11125"/>
      <color rgb="FFDF01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5" Type="http://schemas.openxmlformats.org/officeDocument/2006/relationships/worksheet" Target="worksheets/sheet9.xml"/><Relationship Id="rId16" Type="http://schemas.openxmlformats.org/officeDocument/2006/relationships/worksheet" Target="worksheets/sheet10.xml"/></Relationships>
</file>

<file path=xl/ctrlProps/ctrlProp1.xml><?xml version="1.0" encoding="utf-8"?>
<formControlPr xmlns="http://schemas.microsoft.com/office/spreadsheetml/2009/9/main" objectType="CheckBox" checked="Checked" fmlaLink="'input handling'!$H$3" lockText="1" noThreeD="1"/>
</file>

<file path=xl/ctrlProps/ctrlProp2.xml><?xml version="1.0" encoding="utf-8"?>
<formControlPr xmlns="http://schemas.microsoft.com/office/spreadsheetml/2009/9/main" objectType="CheckBox" fmlaLink="'input handling'!$G$3" lockText="1" noThreeD="1"/>
</file>

<file path=xl/ctrlProps/ctrlProp3.xml><?xml version="1.0" encoding="utf-8"?>
<formControlPr xmlns="http://schemas.microsoft.com/office/spreadsheetml/2009/9/main" objectType="CheckBox" checked="Checked" fmlaLink="'input handling'!$F$3" lockText="1" noThreeD="1"/>
</file>

<file path=xl/ctrlProps/ctrlProp4.xml><?xml version="1.0" encoding="utf-8"?>
<formControlPr xmlns="http://schemas.microsoft.com/office/spreadsheetml/2009/9/main" objectType="CheckBox" checked="Checked" fmlaLink="'input handling'!$E$3" lockText="1" noThreeD="1"/>
</file>

<file path=xl/ctrlProps/ctrlProp5.xml><?xml version="1.0" encoding="utf-8"?>
<formControlPr xmlns="http://schemas.microsoft.com/office/spreadsheetml/2009/9/main" objectType="CheckBox" fmlaLink="'input handling'!$D$3" lockText="1" noThreeD="1"/>
</file>

<file path=xl/ctrlProps/ctrlProp6.xml><?xml version="1.0" encoding="utf-8"?>
<formControlPr xmlns="http://schemas.microsoft.com/office/spreadsheetml/2009/9/main" objectType="CheckBox" checked="Checked" fmlaLink="'input handling'!$C$3" lockText="1" noThreeD="1"/>
</file>

<file path=xl/ctrlProps/ctrlProp7.xml><?xml version="1.0" encoding="utf-8"?>
<formControlPr xmlns="http://schemas.microsoft.com/office/spreadsheetml/2009/9/main" objectType="CheckBox" fmlaLink="'input handling'!$B$3" lockText="1" noThreeD="1"/>
</file>

<file path=xl/ctrlProps/ctrlProp8.xml><?xml version="1.0" encoding="utf-8"?>
<formControlPr xmlns="http://schemas.microsoft.com/office/spreadsheetml/2009/9/main" objectType="CheckBox" checked="Checked" fmlaLink="'input handling'!$A$3" lockText="1" noThreeD="1"/>
</file>

<file path=xl/ctrlProps/ctrlProp9.xml><?xml version="1.0" encoding="utf-8"?>
<formControlPr xmlns="http://schemas.microsoft.com/office/spreadsheetml/2009/9/main" objectType="CheckBox" checked="Checked" fmlaLink="'input handling'!$H$4" lockText="1" noThreeD="1"/>
</file>

<file path=xl/ctrlProps/ctrlProp10.xml><?xml version="1.0" encoding="utf-8"?>
<formControlPr xmlns="http://schemas.microsoft.com/office/spreadsheetml/2009/9/main" objectType="CheckBox" checked="Checked" fmlaLink="'input handling'!$G$4" lockText="1" noThreeD="1"/>
</file>

<file path=xl/ctrlProps/ctrlProp11.xml><?xml version="1.0" encoding="utf-8"?>
<formControlPr xmlns="http://schemas.microsoft.com/office/spreadsheetml/2009/9/main" objectType="CheckBox" checked="Checked" fmlaLink="'input handling'!$F$4" lockText="1" noThreeD="1"/>
</file>

<file path=xl/ctrlProps/ctrlProp12.xml><?xml version="1.0" encoding="utf-8"?>
<formControlPr xmlns="http://schemas.microsoft.com/office/spreadsheetml/2009/9/main" objectType="CheckBox" fmlaLink="'input handling'!$E$4" lockText="1" noThreeD="1"/>
</file>

<file path=xl/ctrlProps/ctrlProp13.xml><?xml version="1.0" encoding="utf-8"?>
<formControlPr xmlns="http://schemas.microsoft.com/office/spreadsheetml/2009/9/main" objectType="CheckBox" checked="Checked" fmlaLink="'input handling'!$D$4" lockText="1" noThreeD="1"/>
</file>

<file path=xl/ctrlProps/ctrlProp14.xml><?xml version="1.0" encoding="utf-8"?>
<formControlPr xmlns="http://schemas.microsoft.com/office/spreadsheetml/2009/9/main" objectType="CheckBox" fmlaLink="'input handling'!$C$4" lockText="1" noThreeD="1"/>
</file>

<file path=xl/ctrlProps/ctrlProp15.xml><?xml version="1.0" encoding="utf-8"?>
<formControlPr xmlns="http://schemas.microsoft.com/office/spreadsheetml/2009/9/main" objectType="CheckBox" fmlaLink="'input handling'!$B$4" lockText="1" noThreeD="1"/>
</file>

<file path=xl/ctrlProps/ctrlProp16.xml><?xml version="1.0" encoding="utf-8"?>
<formControlPr xmlns="http://schemas.microsoft.com/office/spreadsheetml/2009/9/main" objectType="CheckBox" checked="Checked" fmlaLink="'input handling'!$A$4" lockText="1" noThreeD="1"/>
</file>

<file path=xl/ctrlProps/ctrlProp17.xml><?xml version="1.0" encoding="utf-8"?>
<formControlPr xmlns="http://schemas.microsoft.com/office/spreadsheetml/2009/9/main" objectType="CheckBox" checked="Checked" fmlaLink="'input handling'!$H$5" lockText="1" noThreeD="1"/>
</file>

<file path=xl/ctrlProps/ctrlProp18.xml><?xml version="1.0" encoding="utf-8"?>
<formControlPr xmlns="http://schemas.microsoft.com/office/spreadsheetml/2009/9/main" objectType="CheckBox" fmlaLink="'input handling'!$G$5" lockText="1" noThreeD="1"/>
</file>

<file path=xl/ctrlProps/ctrlProp19.xml><?xml version="1.0" encoding="utf-8"?>
<formControlPr xmlns="http://schemas.microsoft.com/office/spreadsheetml/2009/9/main" objectType="CheckBox" fmlaLink="'input handling'!$F$5" lockText="1" noThreeD="1"/>
</file>

<file path=xl/ctrlProps/ctrlProp20.xml><?xml version="1.0" encoding="utf-8"?>
<formControlPr xmlns="http://schemas.microsoft.com/office/spreadsheetml/2009/9/main" objectType="CheckBox" fmlaLink="'input handling'!$E$5" lockText="1" noThreeD="1"/>
</file>

<file path=xl/ctrlProps/ctrlProp21.xml><?xml version="1.0" encoding="utf-8"?>
<formControlPr xmlns="http://schemas.microsoft.com/office/spreadsheetml/2009/9/main" objectType="CheckBox" checked="Checked" fmlaLink="'input handling'!$D$5" lockText="1" noThreeD="1"/>
</file>

<file path=xl/ctrlProps/ctrlProp22.xml><?xml version="1.0" encoding="utf-8"?>
<formControlPr xmlns="http://schemas.microsoft.com/office/spreadsheetml/2009/9/main" objectType="CheckBox" fmlaLink="'input handling'!$C$5" lockText="1" noThreeD="1"/>
</file>

<file path=xl/ctrlProps/ctrlProp23.xml><?xml version="1.0" encoding="utf-8"?>
<formControlPr xmlns="http://schemas.microsoft.com/office/spreadsheetml/2009/9/main" objectType="CheckBox" fmlaLink="'input handling'!$B$5" lockText="1" noThreeD="1"/>
</file>

<file path=xl/ctrlProps/ctrlProp24.xml><?xml version="1.0" encoding="utf-8"?>
<formControlPr xmlns="http://schemas.microsoft.com/office/spreadsheetml/2009/9/main" objectType="CheckBox" checked="Checked" fmlaLink="'input handling'!$A$5" lockText="1" noThreeD="1"/>
</file>

<file path=xl/ctrlProps/ctrlProp25.xml><?xml version="1.0" encoding="utf-8"?>
<formControlPr xmlns="http://schemas.microsoft.com/office/spreadsheetml/2009/9/main" objectType="CheckBox" checked="Checked" fmlaLink="'input handling'!$H$6" lockText="1" noThreeD="1"/>
</file>

<file path=xl/ctrlProps/ctrlProp26.xml><?xml version="1.0" encoding="utf-8"?>
<formControlPr xmlns="http://schemas.microsoft.com/office/spreadsheetml/2009/9/main" objectType="CheckBox" fmlaLink="'input handling'!$G$6" lockText="1" noThreeD="1"/>
</file>

<file path=xl/ctrlProps/ctrlProp27.xml><?xml version="1.0" encoding="utf-8"?>
<formControlPr xmlns="http://schemas.microsoft.com/office/spreadsheetml/2009/9/main" objectType="CheckBox" checked="Checked" fmlaLink="'input handling'!$F$6" lockText="1" noThreeD="1"/>
</file>

<file path=xl/ctrlProps/ctrlProp28.xml><?xml version="1.0" encoding="utf-8"?>
<formControlPr xmlns="http://schemas.microsoft.com/office/spreadsheetml/2009/9/main" objectType="CheckBox" fmlaLink="'input handling'!$E$6" lockText="1" noThreeD="1"/>
</file>

<file path=xl/ctrlProps/ctrlProp29.xml><?xml version="1.0" encoding="utf-8"?>
<formControlPr xmlns="http://schemas.microsoft.com/office/spreadsheetml/2009/9/main" objectType="CheckBox" fmlaLink="'input handling'!$D$6" lockText="1" noThreeD="1"/>
</file>

<file path=xl/ctrlProps/ctrlProp30.xml><?xml version="1.0" encoding="utf-8"?>
<formControlPr xmlns="http://schemas.microsoft.com/office/spreadsheetml/2009/9/main" objectType="CheckBox" fmlaLink="'input handling'!$C$6" lockText="1" noThreeD="1"/>
</file>

<file path=xl/ctrlProps/ctrlProp31.xml><?xml version="1.0" encoding="utf-8"?>
<formControlPr xmlns="http://schemas.microsoft.com/office/spreadsheetml/2009/9/main" objectType="CheckBox" checked="Checked" fmlaLink="'input handling'!$B$6" lockText="1" noThreeD="1"/>
</file>

<file path=xl/ctrlProps/ctrlProp32.xml><?xml version="1.0" encoding="utf-8"?>
<formControlPr xmlns="http://schemas.microsoft.com/office/spreadsheetml/2009/9/main" objectType="CheckBox" checked="Checked" fmlaLink="'input handling'!$A$6" lockText="1" noThreeD="1"/>
</file>

<file path=xl/ctrlProps/ctrlProp33.xml><?xml version="1.0" encoding="utf-8"?>
<formControlPr xmlns="http://schemas.microsoft.com/office/spreadsheetml/2009/9/main" objectType="CheckBox" checked="Checked" fmlaLink="'input handling'!$H$7" lockText="1" noThreeD="1"/>
</file>

<file path=xl/ctrlProps/ctrlProp34.xml><?xml version="1.0" encoding="utf-8"?>
<formControlPr xmlns="http://schemas.microsoft.com/office/spreadsheetml/2009/9/main" objectType="CheckBox" checked="Checked" fmlaLink="'input handling'!$G$7" lockText="1" noThreeD="1"/>
</file>

<file path=xl/ctrlProps/ctrlProp35.xml><?xml version="1.0" encoding="utf-8"?>
<formControlPr xmlns="http://schemas.microsoft.com/office/spreadsheetml/2009/9/main" objectType="CheckBox" checked="Checked" fmlaLink="'input handling'!$F$7" lockText="1" noThreeD="1"/>
</file>

<file path=xl/ctrlProps/ctrlProp36.xml><?xml version="1.0" encoding="utf-8"?>
<formControlPr xmlns="http://schemas.microsoft.com/office/spreadsheetml/2009/9/main" objectType="CheckBox" fmlaLink="'input handling'!$E$7" lockText="1" noThreeD="1"/>
</file>

<file path=xl/ctrlProps/ctrlProp37.xml><?xml version="1.0" encoding="utf-8"?>
<formControlPr xmlns="http://schemas.microsoft.com/office/spreadsheetml/2009/9/main" objectType="CheckBox" fmlaLink="'input handling'!$D$7" lockText="1" noThreeD="1"/>
</file>

<file path=xl/ctrlProps/ctrlProp38.xml><?xml version="1.0" encoding="utf-8"?>
<formControlPr xmlns="http://schemas.microsoft.com/office/spreadsheetml/2009/9/main" objectType="CheckBox" fmlaLink="'input handling'!$C$7" lockText="1" noThreeD="1"/>
</file>

<file path=xl/ctrlProps/ctrlProp39.xml><?xml version="1.0" encoding="utf-8"?>
<formControlPr xmlns="http://schemas.microsoft.com/office/spreadsheetml/2009/9/main" objectType="CheckBox" fmlaLink="'input handling'!$B$7" lockText="1" noThreeD="1"/>
</file>

<file path=xl/ctrlProps/ctrlProp40.xml><?xml version="1.0" encoding="utf-8"?>
<formControlPr xmlns="http://schemas.microsoft.com/office/spreadsheetml/2009/9/main" objectType="CheckBox" checked="Checked" fmlaLink="'input handling'!$A$7" lockText="1" noThreeD="1"/>
</file>

<file path=xl/ctrlProps/ctrlProp41.xml><?xml version="1.0" encoding="utf-8"?>
<formControlPr xmlns="http://schemas.microsoft.com/office/spreadsheetml/2009/9/main" objectType="CheckBox" fmlaLink="'input handling'!$H$8" lockText="1" noThreeD="1"/>
</file>

<file path=xl/ctrlProps/ctrlProp42.xml><?xml version="1.0" encoding="utf-8"?>
<formControlPr xmlns="http://schemas.microsoft.com/office/spreadsheetml/2009/9/main" objectType="CheckBox" checked="Checked" fmlaLink="'input handling'!$G$8" lockText="1" noThreeD="1"/>
</file>

<file path=xl/ctrlProps/ctrlProp43.xml><?xml version="1.0" encoding="utf-8"?>
<formControlPr xmlns="http://schemas.microsoft.com/office/spreadsheetml/2009/9/main" objectType="CheckBox" checked="Checked" fmlaLink="'input handling'!$F$8" lockText="1" noThreeD="1"/>
</file>

<file path=xl/ctrlProps/ctrlProp44.xml><?xml version="1.0" encoding="utf-8"?>
<formControlPr xmlns="http://schemas.microsoft.com/office/spreadsheetml/2009/9/main" objectType="CheckBox" checked="Checked" fmlaLink="'input handling'!$E$8" lockText="1" noThreeD="1"/>
</file>

<file path=xl/ctrlProps/ctrlProp45.xml><?xml version="1.0" encoding="utf-8"?>
<formControlPr xmlns="http://schemas.microsoft.com/office/spreadsheetml/2009/9/main" objectType="CheckBox" fmlaLink="'input handling'!$D$8" lockText="1" noThreeD="1"/>
</file>

<file path=xl/ctrlProps/ctrlProp46.xml><?xml version="1.0" encoding="utf-8"?>
<formControlPr xmlns="http://schemas.microsoft.com/office/spreadsheetml/2009/9/main" objectType="CheckBox" checked="Checked" fmlaLink="'input handling'!$C$8" lockText="1" noThreeD="1"/>
</file>

<file path=xl/ctrlProps/ctrlProp47.xml><?xml version="1.0" encoding="utf-8"?>
<formControlPr xmlns="http://schemas.microsoft.com/office/spreadsheetml/2009/9/main" objectType="CheckBox" checked="Checked" fmlaLink="'input handling'!$B$8" lockText="1" noThreeD="1"/>
</file>

<file path=xl/ctrlProps/ctrlProp48.xml><?xml version="1.0" encoding="utf-8"?>
<formControlPr xmlns="http://schemas.microsoft.com/office/spreadsheetml/2009/9/main" objectType="CheckBox" fmlaLink="'input handling'!$A$8" lockText="1" noThreeD="1"/>
</file>

<file path=xl/ctrlProps/ctrlProp49.xml><?xml version="1.0" encoding="utf-8"?>
<formControlPr xmlns="http://schemas.microsoft.com/office/spreadsheetml/2009/9/main" objectType="CheckBox" checked="Checked" fmlaLink="'input handling'!$D$1" lockText="1" noThreeD="1"/>
</file>

<file path=xl/ctrlProps/ctrlProp50.xml><?xml version="1.0" encoding="utf-8"?>
<formControlPr xmlns="http://schemas.microsoft.com/office/spreadsheetml/2009/9/main" objectType="CheckBox" checked="Checked" fmlaLink="'input handling'!$C$1" lockText="1" noThreeD="1"/>
</file>

<file path=xl/ctrlProps/ctrlProp51.xml><?xml version="1.0" encoding="utf-8"?>
<formControlPr xmlns="http://schemas.microsoft.com/office/spreadsheetml/2009/9/main" objectType="CheckBox" fmlaLink="'input handling'!$B$1" lockText="1" noThreeD="1"/>
</file>

<file path=xl/ctrlProps/ctrlProp52.xml><?xml version="1.0" encoding="utf-8"?>
<formControlPr xmlns="http://schemas.microsoft.com/office/spreadsheetml/2009/9/main" objectType="CheckBox" checked="Checked" fmlaLink="'input handling'!$A$1" lockText="1" noThreeD="1"/>
</file>

<file path=xl/ctrlProps/ctrlProp53.xml><?xml version="1.0" encoding="utf-8"?>
<formControlPr xmlns="http://schemas.microsoft.com/office/spreadsheetml/2009/9/main" objectType="CheckBox" fmlaLink="'input handling'!$F$2" lockText="1" noThreeD="1"/>
</file>

<file path=xl/ctrlProps/ctrlProp54.xml><?xml version="1.0" encoding="utf-8"?>
<formControlPr xmlns="http://schemas.microsoft.com/office/spreadsheetml/2009/9/main" objectType="CheckBox" fmlaLink="'input handling'!$E$2" lockText="1" noThreeD="1"/>
</file>

<file path=xl/ctrlProps/ctrlProp55.xml><?xml version="1.0" encoding="utf-8"?>
<formControlPr xmlns="http://schemas.microsoft.com/office/spreadsheetml/2009/9/main" objectType="CheckBox" checked="Checked" fmlaLink="'input handling'!$D$2" lockText="1" noThreeD="1"/>
</file>

<file path=xl/ctrlProps/ctrlProp56.xml><?xml version="1.0" encoding="utf-8"?>
<formControlPr xmlns="http://schemas.microsoft.com/office/spreadsheetml/2009/9/main" objectType="CheckBox" fmlaLink="'input handling'!$C$2" lockText="1" noThreeD="1"/>
</file>

<file path=xl/ctrlProps/ctrlProp57.xml><?xml version="1.0" encoding="utf-8"?>
<formControlPr xmlns="http://schemas.microsoft.com/office/spreadsheetml/2009/9/main" objectType="CheckBox" fmlaLink="'input handling'!$B$2" lockText="1" noThreeD="1"/>
</file>

<file path=xl/ctrlProps/ctrlProp58.xml><?xml version="1.0" encoding="utf-8"?>
<formControlPr xmlns="http://schemas.microsoft.com/office/spreadsheetml/2009/9/main" objectType="CheckBox" checked="Checked" fmlaLink="'input handling'!$A$2" lockText="1" noThreeD="1"/>
</file>

<file path=xl/ctrlProps/ctrlProp59.xml><?xml version="1.0" encoding="utf-8"?>
<formControlPr xmlns="http://schemas.microsoft.com/office/spreadsheetml/2009/9/main" objectType="CheckBox" checked="Checked" fmlaLink="'input handling'!$F$1" lockText="1" noThreeD="1"/>
</file>

<file path=xl/ctrlProps/ctrlProp60.xml><?xml version="1.0" encoding="utf-8"?>
<formControlPr xmlns="http://schemas.microsoft.com/office/spreadsheetml/2009/9/main" objectType="CheckBox" fmlaLink="'input handling'!$E$1" lockText="1" noThreeD="1"/>
</file>

<file path=xl/ctrlProps/ctrlProp61.xml><?xml version="1.0" encoding="utf-8"?>
<formControlPr xmlns="http://schemas.microsoft.com/office/spreadsheetml/2009/9/main" objectType="CheckBox" fmlaLink="'input handling'!$H$1" lockText="1" noThreeD="1"/>
</file>

<file path=xl/ctrlProps/ctrlProp62.xml><?xml version="1.0" encoding="utf-8"?>
<formControlPr xmlns="http://schemas.microsoft.com/office/spreadsheetml/2009/9/main" objectType="CheckBox" checked="Checked" fmlaLink="'input handling'!$G$1" lockText="1" noThreeD="1"/>
</file>

<file path=xl/ctrlProps/ctrlProp63.xml><?xml version="1.0" encoding="utf-8"?>
<formControlPr xmlns="http://schemas.microsoft.com/office/spreadsheetml/2009/9/main" objectType="CheckBox" checked="Checked" fmlaLink="'input handling'!$H$2" lockText="1" noThreeD="1"/>
</file>

<file path=xl/ctrlProps/ctrlProp64.xml><?xml version="1.0" encoding="utf-8"?>
<formControlPr xmlns="http://schemas.microsoft.com/office/spreadsheetml/2009/9/main" objectType="CheckBox" fmlaLink="'input handling'!$G$2"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2184400</xdr:colOff>
          <xdr:row>0</xdr:row>
          <xdr:rowOff>0</xdr:rowOff>
        </xdr:from>
        <xdr:to>
          <xdr:col>9</xdr:col>
          <xdr:colOff>12700</xdr:colOff>
          <xdr:row>1</xdr:row>
          <xdr:rowOff>12700</xdr:rowOff>
        </xdr:to>
        <xdr:sp macro="" textlink="">
          <xdr:nvSpPr>
            <xdr:cNvPr id="1027" name="BoxH1"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0</xdr:row>
          <xdr:rowOff>0</xdr:rowOff>
        </xdr:from>
        <xdr:to>
          <xdr:col>8</xdr:col>
          <xdr:colOff>12700</xdr:colOff>
          <xdr:row>1</xdr:row>
          <xdr:rowOff>0</xdr:rowOff>
        </xdr:to>
        <xdr:sp macro="" textlink="">
          <xdr:nvSpPr>
            <xdr:cNvPr id="1029" name="BoxG1"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0</xdr:row>
          <xdr:rowOff>0</xdr:rowOff>
        </xdr:from>
        <xdr:to>
          <xdr:col>7</xdr:col>
          <xdr:colOff>0</xdr:colOff>
          <xdr:row>1</xdr:row>
          <xdr:rowOff>0</xdr:rowOff>
        </xdr:to>
        <xdr:sp macro="" textlink="">
          <xdr:nvSpPr>
            <xdr:cNvPr id="1030" name="BoxF1"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0</xdr:row>
          <xdr:rowOff>0</xdr:rowOff>
        </xdr:from>
        <xdr:to>
          <xdr:col>6</xdr:col>
          <xdr:colOff>12700</xdr:colOff>
          <xdr:row>1</xdr:row>
          <xdr:rowOff>0</xdr:rowOff>
        </xdr:to>
        <xdr:sp macro="" textlink="">
          <xdr:nvSpPr>
            <xdr:cNvPr id="1031" name="BoxE1"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0</xdr:row>
          <xdr:rowOff>0</xdr:rowOff>
        </xdr:from>
        <xdr:to>
          <xdr:col>5</xdr:col>
          <xdr:colOff>12700</xdr:colOff>
          <xdr:row>1</xdr:row>
          <xdr:rowOff>0</xdr:rowOff>
        </xdr:to>
        <xdr:sp macro="" textlink="">
          <xdr:nvSpPr>
            <xdr:cNvPr id="1032" name="BoxD1"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0</xdr:row>
          <xdr:rowOff>0</xdr:rowOff>
        </xdr:from>
        <xdr:to>
          <xdr:col>4</xdr:col>
          <xdr:colOff>12700</xdr:colOff>
          <xdr:row>1</xdr:row>
          <xdr:rowOff>0</xdr:rowOff>
        </xdr:to>
        <xdr:sp macro="" textlink="">
          <xdr:nvSpPr>
            <xdr:cNvPr id="1033" name="BoxC1"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0</xdr:row>
          <xdr:rowOff>0</xdr:rowOff>
        </xdr:from>
        <xdr:to>
          <xdr:col>3</xdr:col>
          <xdr:colOff>12700</xdr:colOff>
          <xdr:row>1</xdr:row>
          <xdr:rowOff>0</xdr:rowOff>
        </xdr:to>
        <xdr:sp macro="" textlink="">
          <xdr:nvSpPr>
            <xdr:cNvPr id="1034" name="BoxB1"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0</xdr:row>
          <xdr:rowOff>0</xdr:rowOff>
        </xdr:from>
        <xdr:to>
          <xdr:col>2</xdr:col>
          <xdr:colOff>12700</xdr:colOff>
          <xdr:row>1</xdr:row>
          <xdr:rowOff>0</xdr:rowOff>
        </xdr:to>
        <xdr:sp macro="" textlink="">
          <xdr:nvSpPr>
            <xdr:cNvPr id="1035" name="BoxA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1</xdr:row>
          <xdr:rowOff>12700</xdr:rowOff>
        </xdr:from>
        <xdr:to>
          <xdr:col>9</xdr:col>
          <xdr:colOff>12700</xdr:colOff>
          <xdr:row>2</xdr:row>
          <xdr:rowOff>25400</xdr:rowOff>
        </xdr:to>
        <xdr:sp macro="" textlink="">
          <xdr:nvSpPr>
            <xdr:cNvPr id="1039" name="BoxH1"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1</xdr:row>
          <xdr:rowOff>12700</xdr:rowOff>
        </xdr:from>
        <xdr:to>
          <xdr:col>8</xdr:col>
          <xdr:colOff>12700</xdr:colOff>
          <xdr:row>2</xdr:row>
          <xdr:rowOff>12700</xdr:rowOff>
        </xdr:to>
        <xdr:sp macro="" textlink="">
          <xdr:nvSpPr>
            <xdr:cNvPr id="1040" name="BoxG1"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1</xdr:row>
          <xdr:rowOff>12700</xdr:rowOff>
        </xdr:from>
        <xdr:to>
          <xdr:col>7</xdr:col>
          <xdr:colOff>0</xdr:colOff>
          <xdr:row>2</xdr:row>
          <xdr:rowOff>12700</xdr:rowOff>
        </xdr:to>
        <xdr:sp macro="" textlink="">
          <xdr:nvSpPr>
            <xdr:cNvPr id="1041" name="BoxF1"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1</xdr:row>
          <xdr:rowOff>12700</xdr:rowOff>
        </xdr:from>
        <xdr:to>
          <xdr:col>6</xdr:col>
          <xdr:colOff>12700</xdr:colOff>
          <xdr:row>2</xdr:row>
          <xdr:rowOff>12700</xdr:rowOff>
        </xdr:to>
        <xdr:sp macro="" textlink="">
          <xdr:nvSpPr>
            <xdr:cNvPr id="1042" name="BoxE1"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1</xdr:row>
          <xdr:rowOff>12700</xdr:rowOff>
        </xdr:from>
        <xdr:to>
          <xdr:col>5</xdr:col>
          <xdr:colOff>12700</xdr:colOff>
          <xdr:row>2</xdr:row>
          <xdr:rowOff>12700</xdr:rowOff>
        </xdr:to>
        <xdr:sp macro="" textlink="">
          <xdr:nvSpPr>
            <xdr:cNvPr id="1043" name="BoxD1"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1</xdr:row>
          <xdr:rowOff>12700</xdr:rowOff>
        </xdr:from>
        <xdr:to>
          <xdr:col>4</xdr:col>
          <xdr:colOff>12700</xdr:colOff>
          <xdr:row>2</xdr:row>
          <xdr:rowOff>12700</xdr:rowOff>
        </xdr:to>
        <xdr:sp macro="" textlink="">
          <xdr:nvSpPr>
            <xdr:cNvPr id="1044" name="BoxC1"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1</xdr:row>
          <xdr:rowOff>12700</xdr:rowOff>
        </xdr:from>
        <xdr:to>
          <xdr:col>3</xdr:col>
          <xdr:colOff>12700</xdr:colOff>
          <xdr:row>2</xdr:row>
          <xdr:rowOff>12700</xdr:rowOff>
        </xdr:to>
        <xdr:sp macro="" textlink="">
          <xdr:nvSpPr>
            <xdr:cNvPr id="1045" name="BoxB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1</xdr:row>
          <xdr:rowOff>12700</xdr:rowOff>
        </xdr:from>
        <xdr:to>
          <xdr:col>2</xdr:col>
          <xdr:colOff>12700</xdr:colOff>
          <xdr:row>2</xdr:row>
          <xdr:rowOff>12700</xdr:rowOff>
        </xdr:to>
        <xdr:sp macro="" textlink="">
          <xdr:nvSpPr>
            <xdr:cNvPr id="1046" name="BoxA1"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2</xdr:row>
          <xdr:rowOff>0</xdr:rowOff>
        </xdr:from>
        <xdr:to>
          <xdr:col>9</xdr:col>
          <xdr:colOff>0</xdr:colOff>
          <xdr:row>3</xdr:row>
          <xdr:rowOff>12700</xdr:rowOff>
        </xdr:to>
        <xdr:sp macro="" textlink="">
          <xdr:nvSpPr>
            <xdr:cNvPr id="1047" name="BoxH1"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2</xdr:row>
          <xdr:rowOff>0</xdr:rowOff>
        </xdr:from>
        <xdr:to>
          <xdr:col>8</xdr:col>
          <xdr:colOff>0</xdr:colOff>
          <xdr:row>3</xdr:row>
          <xdr:rowOff>0</xdr:rowOff>
        </xdr:to>
        <xdr:sp macro="" textlink="">
          <xdr:nvSpPr>
            <xdr:cNvPr id="1048" name="BoxG1"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2</xdr:row>
          <xdr:rowOff>0</xdr:rowOff>
        </xdr:from>
        <xdr:to>
          <xdr:col>6</xdr:col>
          <xdr:colOff>508000</xdr:colOff>
          <xdr:row>3</xdr:row>
          <xdr:rowOff>0</xdr:rowOff>
        </xdr:to>
        <xdr:sp macro="" textlink="">
          <xdr:nvSpPr>
            <xdr:cNvPr id="1049" name="BoxF1"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2</xdr:row>
          <xdr:rowOff>0</xdr:rowOff>
        </xdr:from>
        <xdr:to>
          <xdr:col>6</xdr:col>
          <xdr:colOff>0</xdr:colOff>
          <xdr:row>3</xdr:row>
          <xdr:rowOff>0</xdr:rowOff>
        </xdr:to>
        <xdr:sp macro="" textlink="">
          <xdr:nvSpPr>
            <xdr:cNvPr id="1050" name="BoxE1"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2</xdr:row>
          <xdr:rowOff>0</xdr:rowOff>
        </xdr:from>
        <xdr:to>
          <xdr:col>5</xdr:col>
          <xdr:colOff>0</xdr:colOff>
          <xdr:row>3</xdr:row>
          <xdr:rowOff>0</xdr:rowOff>
        </xdr:to>
        <xdr:sp macro="" textlink="">
          <xdr:nvSpPr>
            <xdr:cNvPr id="1051" name="BoxD1"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2</xdr:row>
          <xdr:rowOff>0</xdr:rowOff>
        </xdr:from>
        <xdr:to>
          <xdr:col>4</xdr:col>
          <xdr:colOff>0</xdr:colOff>
          <xdr:row>3</xdr:row>
          <xdr:rowOff>0</xdr:rowOff>
        </xdr:to>
        <xdr:sp macro="" textlink="">
          <xdr:nvSpPr>
            <xdr:cNvPr id="1052" name="BoxC1"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2</xdr:row>
          <xdr:rowOff>0</xdr:rowOff>
        </xdr:from>
        <xdr:to>
          <xdr:col>3</xdr:col>
          <xdr:colOff>0</xdr:colOff>
          <xdr:row>3</xdr:row>
          <xdr:rowOff>0</xdr:rowOff>
        </xdr:to>
        <xdr:sp macro="" textlink="">
          <xdr:nvSpPr>
            <xdr:cNvPr id="1053" name="BoxB1"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2</xdr:row>
          <xdr:rowOff>0</xdr:rowOff>
        </xdr:from>
        <xdr:to>
          <xdr:col>2</xdr:col>
          <xdr:colOff>0</xdr:colOff>
          <xdr:row>3</xdr:row>
          <xdr:rowOff>0</xdr:rowOff>
        </xdr:to>
        <xdr:sp macro="" textlink="">
          <xdr:nvSpPr>
            <xdr:cNvPr id="1054" name="BoxA1"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2</xdr:row>
          <xdr:rowOff>508000</xdr:rowOff>
        </xdr:from>
        <xdr:to>
          <xdr:col>9</xdr:col>
          <xdr:colOff>12700</xdr:colOff>
          <xdr:row>4</xdr:row>
          <xdr:rowOff>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2</xdr:row>
          <xdr:rowOff>508000</xdr:rowOff>
        </xdr:from>
        <xdr:to>
          <xdr:col>8</xdr:col>
          <xdr:colOff>12700</xdr:colOff>
          <xdr:row>4</xdr:row>
          <xdr:rowOff>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2</xdr:row>
          <xdr:rowOff>508000</xdr:rowOff>
        </xdr:from>
        <xdr:to>
          <xdr:col>7</xdr:col>
          <xdr:colOff>0</xdr:colOff>
          <xdr:row>4</xdr:row>
          <xdr:rowOff>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2</xdr:row>
          <xdr:rowOff>508000</xdr:rowOff>
        </xdr:from>
        <xdr:to>
          <xdr:col>6</xdr:col>
          <xdr:colOff>12700</xdr:colOff>
          <xdr:row>4</xdr:row>
          <xdr:rowOff>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2</xdr:row>
          <xdr:rowOff>508000</xdr:rowOff>
        </xdr:from>
        <xdr:to>
          <xdr:col>5</xdr:col>
          <xdr:colOff>12700</xdr:colOff>
          <xdr:row>4</xdr:row>
          <xdr:rowOff>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2</xdr:row>
          <xdr:rowOff>508000</xdr:rowOff>
        </xdr:from>
        <xdr:to>
          <xdr:col>4</xdr:col>
          <xdr:colOff>12700</xdr:colOff>
          <xdr:row>4</xdr:row>
          <xdr:rowOff>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2</xdr:row>
          <xdr:rowOff>508000</xdr:rowOff>
        </xdr:from>
        <xdr:to>
          <xdr:col>3</xdr:col>
          <xdr:colOff>12700</xdr:colOff>
          <xdr:row>4</xdr:row>
          <xdr:rowOff>0</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0000-00004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2</xdr:row>
          <xdr:rowOff>508000</xdr:rowOff>
        </xdr:from>
        <xdr:to>
          <xdr:col>2</xdr:col>
          <xdr:colOff>12700</xdr:colOff>
          <xdr:row>4</xdr:row>
          <xdr:rowOff>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000-00004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3</xdr:row>
          <xdr:rowOff>508000</xdr:rowOff>
        </xdr:from>
        <xdr:to>
          <xdr:col>9</xdr:col>
          <xdr:colOff>0</xdr:colOff>
          <xdr:row>5</xdr:row>
          <xdr:rowOff>0</xdr:rowOff>
        </xdr:to>
        <xdr:sp macro="" textlink="">
          <xdr:nvSpPr>
            <xdr:cNvPr id="1159" name="Check Box 135" hidden="1">
              <a:extLst>
                <a:ext uri="{63B3BB69-23CF-44E3-9099-C40C66FF867C}">
                  <a14:compatExt spid="_x0000_s1159"/>
                </a:ext>
                <a:ext uri="{FF2B5EF4-FFF2-40B4-BE49-F238E27FC236}">
                  <a16:creationId xmlns:a16="http://schemas.microsoft.com/office/drawing/2014/main" id="{00000000-0008-0000-0000-00008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3</xdr:row>
          <xdr:rowOff>508000</xdr:rowOff>
        </xdr:from>
        <xdr:to>
          <xdr:col>8</xdr:col>
          <xdr:colOff>0</xdr:colOff>
          <xdr:row>5</xdr:row>
          <xdr:rowOff>0</xdr:rowOff>
        </xdr:to>
        <xdr:sp macro="" textlink="">
          <xdr:nvSpPr>
            <xdr:cNvPr id="1160" name="Check Box 136" hidden="1">
              <a:extLst>
                <a:ext uri="{63B3BB69-23CF-44E3-9099-C40C66FF867C}">
                  <a14:compatExt spid="_x0000_s1160"/>
                </a:ext>
                <a:ext uri="{FF2B5EF4-FFF2-40B4-BE49-F238E27FC236}">
                  <a16:creationId xmlns:a16="http://schemas.microsoft.com/office/drawing/2014/main" id="{00000000-0008-0000-0000-00008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3</xdr:row>
          <xdr:rowOff>508000</xdr:rowOff>
        </xdr:from>
        <xdr:to>
          <xdr:col>6</xdr:col>
          <xdr:colOff>508000</xdr:colOff>
          <xdr:row>5</xdr:row>
          <xdr:rowOff>0</xdr:rowOff>
        </xdr:to>
        <xdr:sp macro="" textlink="">
          <xdr:nvSpPr>
            <xdr:cNvPr id="1161" name="Check Box 137" hidden="1">
              <a:extLst>
                <a:ext uri="{63B3BB69-23CF-44E3-9099-C40C66FF867C}">
                  <a14:compatExt spid="_x0000_s1161"/>
                </a:ext>
                <a:ext uri="{FF2B5EF4-FFF2-40B4-BE49-F238E27FC236}">
                  <a16:creationId xmlns:a16="http://schemas.microsoft.com/office/drawing/2014/main" id="{00000000-0008-0000-0000-00008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3</xdr:row>
          <xdr:rowOff>508000</xdr:rowOff>
        </xdr:from>
        <xdr:to>
          <xdr:col>6</xdr:col>
          <xdr:colOff>0</xdr:colOff>
          <xdr:row>5</xdr:row>
          <xdr:rowOff>0</xdr:rowOff>
        </xdr:to>
        <xdr:sp macro="" textlink="">
          <xdr:nvSpPr>
            <xdr:cNvPr id="1162" name="Check Box 138" hidden="1">
              <a:extLst>
                <a:ext uri="{63B3BB69-23CF-44E3-9099-C40C66FF867C}">
                  <a14:compatExt spid="_x0000_s1162"/>
                </a:ext>
                <a:ext uri="{FF2B5EF4-FFF2-40B4-BE49-F238E27FC236}">
                  <a16:creationId xmlns:a16="http://schemas.microsoft.com/office/drawing/2014/main" id="{00000000-0008-0000-0000-00008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3</xdr:row>
          <xdr:rowOff>508000</xdr:rowOff>
        </xdr:from>
        <xdr:to>
          <xdr:col>5</xdr:col>
          <xdr:colOff>0</xdr:colOff>
          <xdr:row>5</xdr:row>
          <xdr:rowOff>0</xdr:rowOff>
        </xdr:to>
        <xdr:sp macro="" textlink="">
          <xdr:nvSpPr>
            <xdr:cNvPr id="1163" name="Check Box 139" hidden="1">
              <a:extLst>
                <a:ext uri="{63B3BB69-23CF-44E3-9099-C40C66FF867C}">
                  <a14:compatExt spid="_x0000_s1163"/>
                </a:ext>
                <a:ext uri="{FF2B5EF4-FFF2-40B4-BE49-F238E27FC236}">
                  <a16:creationId xmlns:a16="http://schemas.microsoft.com/office/drawing/2014/main" id="{00000000-0008-0000-0000-00008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3</xdr:row>
          <xdr:rowOff>508000</xdr:rowOff>
        </xdr:from>
        <xdr:to>
          <xdr:col>4</xdr:col>
          <xdr:colOff>0</xdr:colOff>
          <xdr:row>5</xdr:row>
          <xdr:rowOff>0</xdr:rowOff>
        </xdr:to>
        <xdr:sp macro="" textlink="">
          <xdr:nvSpPr>
            <xdr:cNvPr id="1164" name="Check Box 140" hidden="1">
              <a:extLst>
                <a:ext uri="{63B3BB69-23CF-44E3-9099-C40C66FF867C}">
                  <a14:compatExt spid="_x0000_s1164"/>
                </a:ext>
                <a:ext uri="{FF2B5EF4-FFF2-40B4-BE49-F238E27FC236}">
                  <a16:creationId xmlns:a16="http://schemas.microsoft.com/office/drawing/2014/main" id="{00000000-0008-0000-0000-00008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3</xdr:row>
          <xdr:rowOff>508000</xdr:rowOff>
        </xdr:from>
        <xdr:to>
          <xdr:col>3</xdr:col>
          <xdr:colOff>0</xdr:colOff>
          <xdr:row>5</xdr:row>
          <xdr:rowOff>0</xdr:rowOff>
        </xdr:to>
        <xdr:sp macro="" textlink="">
          <xdr:nvSpPr>
            <xdr:cNvPr id="1165" name="Check Box 141" hidden="1">
              <a:extLst>
                <a:ext uri="{63B3BB69-23CF-44E3-9099-C40C66FF867C}">
                  <a14:compatExt spid="_x0000_s1165"/>
                </a:ext>
                <a:ext uri="{FF2B5EF4-FFF2-40B4-BE49-F238E27FC236}">
                  <a16:creationId xmlns:a16="http://schemas.microsoft.com/office/drawing/2014/main" id="{00000000-0008-0000-0000-00008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3</xdr:row>
          <xdr:rowOff>508000</xdr:rowOff>
        </xdr:from>
        <xdr:to>
          <xdr:col>2</xdr:col>
          <xdr:colOff>0</xdr:colOff>
          <xdr:row>5</xdr:row>
          <xdr:rowOff>0</xdr:rowOff>
        </xdr:to>
        <xdr:sp macro="" textlink="">
          <xdr:nvSpPr>
            <xdr:cNvPr id="1166" name="Check Box 142" hidden="1">
              <a:extLst>
                <a:ext uri="{63B3BB69-23CF-44E3-9099-C40C66FF867C}">
                  <a14:compatExt spid="_x0000_s1166"/>
                </a:ext>
                <a:ext uri="{FF2B5EF4-FFF2-40B4-BE49-F238E27FC236}">
                  <a16:creationId xmlns:a16="http://schemas.microsoft.com/office/drawing/2014/main" id="{00000000-0008-0000-0000-00008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5</xdr:row>
          <xdr:rowOff>12700</xdr:rowOff>
        </xdr:from>
        <xdr:to>
          <xdr:col>9</xdr:col>
          <xdr:colOff>0</xdr:colOff>
          <xdr:row>6</xdr:row>
          <xdr:rowOff>12700</xdr:rowOff>
        </xdr:to>
        <xdr:sp macro="" textlink="">
          <xdr:nvSpPr>
            <xdr:cNvPr id="1167" name="Check Box 143" hidden="1">
              <a:extLst>
                <a:ext uri="{63B3BB69-23CF-44E3-9099-C40C66FF867C}">
                  <a14:compatExt spid="_x0000_s1167"/>
                </a:ext>
                <a:ext uri="{FF2B5EF4-FFF2-40B4-BE49-F238E27FC236}">
                  <a16:creationId xmlns:a16="http://schemas.microsoft.com/office/drawing/2014/main" id="{00000000-0008-0000-0000-00008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5</xdr:row>
          <xdr:rowOff>12700</xdr:rowOff>
        </xdr:from>
        <xdr:to>
          <xdr:col>8</xdr:col>
          <xdr:colOff>0</xdr:colOff>
          <xdr:row>6</xdr:row>
          <xdr:rowOff>12700</xdr:rowOff>
        </xdr:to>
        <xdr:sp macro="" textlink="">
          <xdr:nvSpPr>
            <xdr:cNvPr id="1168" name="Check Box 144" hidden="1">
              <a:extLst>
                <a:ext uri="{63B3BB69-23CF-44E3-9099-C40C66FF867C}">
                  <a14:compatExt spid="_x0000_s1168"/>
                </a:ext>
                <a:ext uri="{FF2B5EF4-FFF2-40B4-BE49-F238E27FC236}">
                  <a16:creationId xmlns:a16="http://schemas.microsoft.com/office/drawing/2014/main" id="{00000000-0008-0000-0000-00009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5</xdr:row>
          <xdr:rowOff>12700</xdr:rowOff>
        </xdr:from>
        <xdr:to>
          <xdr:col>6</xdr:col>
          <xdr:colOff>508000</xdr:colOff>
          <xdr:row>6</xdr:row>
          <xdr:rowOff>12700</xdr:rowOff>
        </xdr:to>
        <xdr:sp macro="" textlink="">
          <xdr:nvSpPr>
            <xdr:cNvPr id="1169" name="Check Box 145" hidden="1">
              <a:extLst>
                <a:ext uri="{63B3BB69-23CF-44E3-9099-C40C66FF867C}">
                  <a14:compatExt spid="_x0000_s1169"/>
                </a:ext>
                <a:ext uri="{FF2B5EF4-FFF2-40B4-BE49-F238E27FC236}">
                  <a16:creationId xmlns:a16="http://schemas.microsoft.com/office/drawing/2014/main" id="{00000000-0008-0000-0000-00009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5</xdr:row>
          <xdr:rowOff>12700</xdr:rowOff>
        </xdr:from>
        <xdr:to>
          <xdr:col>6</xdr:col>
          <xdr:colOff>0</xdr:colOff>
          <xdr:row>6</xdr:row>
          <xdr:rowOff>12700</xdr:rowOff>
        </xdr:to>
        <xdr:sp macro="" textlink="">
          <xdr:nvSpPr>
            <xdr:cNvPr id="1170" name="Check Box 146" hidden="1">
              <a:extLst>
                <a:ext uri="{63B3BB69-23CF-44E3-9099-C40C66FF867C}">
                  <a14:compatExt spid="_x0000_s1170"/>
                </a:ext>
                <a:ext uri="{FF2B5EF4-FFF2-40B4-BE49-F238E27FC236}">
                  <a16:creationId xmlns:a16="http://schemas.microsoft.com/office/drawing/2014/main" id="{00000000-0008-0000-0000-00009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5</xdr:row>
          <xdr:rowOff>12700</xdr:rowOff>
        </xdr:from>
        <xdr:to>
          <xdr:col>5</xdr:col>
          <xdr:colOff>0</xdr:colOff>
          <xdr:row>6</xdr:row>
          <xdr:rowOff>12700</xdr:rowOff>
        </xdr:to>
        <xdr:sp macro="" textlink="">
          <xdr:nvSpPr>
            <xdr:cNvPr id="1171" name="Check Box 147" hidden="1">
              <a:extLst>
                <a:ext uri="{63B3BB69-23CF-44E3-9099-C40C66FF867C}">
                  <a14:compatExt spid="_x0000_s1171"/>
                </a:ext>
                <a:ext uri="{FF2B5EF4-FFF2-40B4-BE49-F238E27FC236}">
                  <a16:creationId xmlns:a16="http://schemas.microsoft.com/office/drawing/2014/main" id="{00000000-0008-0000-0000-00009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5</xdr:row>
          <xdr:rowOff>12700</xdr:rowOff>
        </xdr:from>
        <xdr:to>
          <xdr:col>4</xdr:col>
          <xdr:colOff>0</xdr:colOff>
          <xdr:row>6</xdr:row>
          <xdr:rowOff>12700</xdr:rowOff>
        </xdr:to>
        <xdr:sp macro="" textlink="">
          <xdr:nvSpPr>
            <xdr:cNvPr id="1172" name="Check Box 148" hidden="1">
              <a:extLst>
                <a:ext uri="{63B3BB69-23CF-44E3-9099-C40C66FF867C}">
                  <a14:compatExt spid="_x0000_s1172"/>
                </a:ext>
                <a:ext uri="{FF2B5EF4-FFF2-40B4-BE49-F238E27FC236}">
                  <a16:creationId xmlns:a16="http://schemas.microsoft.com/office/drawing/2014/main" id="{00000000-0008-0000-0000-00009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5</xdr:row>
          <xdr:rowOff>12700</xdr:rowOff>
        </xdr:from>
        <xdr:to>
          <xdr:col>3</xdr:col>
          <xdr:colOff>0</xdr:colOff>
          <xdr:row>6</xdr:row>
          <xdr:rowOff>12700</xdr:rowOff>
        </xdr:to>
        <xdr:sp macro="" textlink="">
          <xdr:nvSpPr>
            <xdr:cNvPr id="1173" name="Check Box 149" hidden="1">
              <a:extLst>
                <a:ext uri="{63B3BB69-23CF-44E3-9099-C40C66FF867C}">
                  <a14:compatExt spid="_x0000_s1173"/>
                </a:ext>
                <a:ext uri="{FF2B5EF4-FFF2-40B4-BE49-F238E27FC236}">
                  <a16:creationId xmlns:a16="http://schemas.microsoft.com/office/drawing/2014/main" id="{00000000-0008-0000-0000-00009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5</xdr:row>
          <xdr:rowOff>12700</xdr:rowOff>
        </xdr:from>
        <xdr:to>
          <xdr:col>2</xdr:col>
          <xdr:colOff>0</xdr:colOff>
          <xdr:row>6</xdr:row>
          <xdr:rowOff>12700</xdr:rowOff>
        </xdr:to>
        <xdr:sp macro="" textlink="">
          <xdr:nvSpPr>
            <xdr:cNvPr id="1174" name="Check Box 150" hidden="1">
              <a:extLst>
                <a:ext uri="{63B3BB69-23CF-44E3-9099-C40C66FF867C}">
                  <a14:compatExt spid="_x0000_s1174"/>
                </a:ext>
                <a:ext uri="{FF2B5EF4-FFF2-40B4-BE49-F238E27FC236}">
                  <a16:creationId xmlns:a16="http://schemas.microsoft.com/office/drawing/2014/main" id="{00000000-0008-0000-0000-00009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5</xdr:row>
          <xdr:rowOff>508000</xdr:rowOff>
        </xdr:from>
        <xdr:to>
          <xdr:col>9</xdr:col>
          <xdr:colOff>0</xdr:colOff>
          <xdr:row>7</xdr:row>
          <xdr:rowOff>0</xdr:rowOff>
        </xdr:to>
        <xdr:sp macro="" textlink="">
          <xdr:nvSpPr>
            <xdr:cNvPr id="1175" name="Check Box 151" hidden="1">
              <a:extLst>
                <a:ext uri="{63B3BB69-23CF-44E3-9099-C40C66FF867C}">
                  <a14:compatExt spid="_x0000_s1175"/>
                </a:ext>
                <a:ext uri="{FF2B5EF4-FFF2-40B4-BE49-F238E27FC236}">
                  <a16:creationId xmlns:a16="http://schemas.microsoft.com/office/drawing/2014/main" id="{00000000-0008-0000-0000-00009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5</xdr:row>
          <xdr:rowOff>508000</xdr:rowOff>
        </xdr:from>
        <xdr:to>
          <xdr:col>8</xdr:col>
          <xdr:colOff>0</xdr:colOff>
          <xdr:row>7</xdr:row>
          <xdr:rowOff>0</xdr:rowOff>
        </xdr:to>
        <xdr:sp macro="" textlink="">
          <xdr:nvSpPr>
            <xdr:cNvPr id="1176" name="Check Box 152" hidden="1">
              <a:extLst>
                <a:ext uri="{63B3BB69-23CF-44E3-9099-C40C66FF867C}">
                  <a14:compatExt spid="_x0000_s1176"/>
                </a:ext>
                <a:ext uri="{FF2B5EF4-FFF2-40B4-BE49-F238E27FC236}">
                  <a16:creationId xmlns:a16="http://schemas.microsoft.com/office/drawing/2014/main" id="{00000000-0008-0000-0000-00009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5</xdr:row>
          <xdr:rowOff>508000</xdr:rowOff>
        </xdr:from>
        <xdr:to>
          <xdr:col>6</xdr:col>
          <xdr:colOff>508000</xdr:colOff>
          <xdr:row>7</xdr:row>
          <xdr:rowOff>0</xdr:rowOff>
        </xdr:to>
        <xdr:sp macro="" textlink="">
          <xdr:nvSpPr>
            <xdr:cNvPr id="1177" name="Check Box 153" hidden="1">
              <a:extLst>
                <a:ext uri="{63B3BB69-23CF-44E3-9099-C40C66FF867C}">
                  <a14:compatExt spid="_x0000_s1177"/>
                </a:ext>
                <a:ext uri="{FF2B5EF4-FFF2-40B4-BE49-F238E27FC236}">
                  <a16:creationId xmlns:a16="http://schemas.microsoft.com/office/drawing/2014/main" id="{00000000-0008-0000-0000-00009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5</xdr:row>
          <xdr:rowOff>508000</xdr:rowOff>
        </xdr:from>
        <xdr:to>
          <xdr:col>6</xdr:col>
          <xdr:colOff>0</xdr:colOff>
          <xdr:row>7</xdr:row>
          <xdr:rowOff>0</xdr:rowOff>
        </xdr:to>
        <xdr:sp macro="" textlink="">
          <xdr:nvSpPr>
            <xdr:cNvPr id="1178" name="Check Box 154" hidden="1">
              <a:extLst>
                <a:ext uri="{63B3BB69-23CF-44E3-9099-C40C66FF867C}">
                  <a14:compatExt spid="_x0000_s1178"/>
                </a:ext>
                <a:ext uri="{FF2B5EF4-FFF2-40B4-BE49-F238E27FC236}">
                  <a16:creationId xmlns:a16="http://schemas.microsoft.com/office/drawing/2014/main" id="{00000000-0008-0000-0000-00009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5</xdr:row>
          <xdr:rowOff>508000</xdr:rowOff>
        </xdr:from>
        <xdr:to>
          <xdr:col>5</xdr:col>
          <xdr:colOff>0</xdr:colOff>
          <xdr:row>7</xdr:row>
          <xdr:rowOff>0</xdr:rowOff>
        </xdr:to>
        <xdr:sp macro="" textlink="">
          <xdr:nvSpPr>
            <xdr:cNvPr id="1179" name="Check Box 155" hidden="1">
              <a:extLst>
                <a:ext uri="{63B3BB69-23CF-44E3-9099-C40C66FF867C}">
                  <a14:compatExt spid="_x0000_s1179"/>
                </a:ext>
                <a:ext uri="{FF2B5EF4-FFF2-40B4-BE49-F238E27FC236}">
                  <a16:creationId xmlns:a16="http://schemas.microsoft.com/office/drawing/2014/main" id="{00000000-0008-0000-0000-00009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5</xdr:row>
          <xdr:rowOff>508000</xdr:rowOff>
        </xdr:from>
        <xdr:to>
          <xdr:col>4</xdr:col>
          <xdr:colOff>0</xdr:colOff>
          <xdr:row>7</xdr:row>
          <xdr:rowOff>0</xdr:rowOff>
        </xdr:to>
        <xdr:sp macro="" textlink="">
          <xdr:nvSpPr>
            <xdr:cNvPr id="1180" name="Check Box 156" hidden="1">
              <a:extLst>
                <a:ext uri="{63B3BB69-23CF-44E3-9099-C40C66FF867C}">
                  <a14:compatExt spid="_x0000_s1180"/>
                </a:ext>
                <a:ext uri="{FF2B5EF4-FFF2-40B4-BE49-F238E27FC236}">
                  <a16:creationId xmlns:a16="http://schemas.microsoft.com/office/drawing/2014/main" id="{00000000-0008-0000-0000-00009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5</xdr:row>
          <xdr:rowOff>508000</xdr:rowOff>
        </xdr:from>
        <xdr:to>
          <xdr:col>3</xdr:col>
          <xdr:colOff>0</xdr:colOff>
          <xdr:row>7</xdr:row>
          <xdr:rowOff>0</xdr:rowOff>
        </xdr:to>
        <xdr:sp macro="" textlink="">
          <xdr:nvSpPr>
            <xdr:cNvPr id="1181" name="Check Box 157" hidden="1">
              <a:extLst>
                <a:ext uri="{63B3BB69-23CF-44E3-9099-C40C66FF867C}">
                  <a14:compatExt spid="_x0000_s1181"/>
                </a:ext>
                <a:ext uri="{FF2B5EF4-FFF2-40B4-BE49-F238E27FC236}">
                  <a16:creationId xmlns:a16="http://schemas.microsoft.com/office/drawing/2014/main" id="{00000000-0008-0000-0000-00009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2171700</xdr:colOff>
          <xdr:row>5</xdr:row>
          <xdr:rowOff>508000</xdr:rowOff>
        </xdr:from>
        <xdr:to>
          <xdr:col>2</xdr:col>
          <xdr:colOff>0</xdr:colOff>
          <xdr:row>7</xdr:row>
          <xdr:rowOff>0</xdr:rowOff>
        </xdr:to>
        <xdr:sp macro="" textlink="">
          <xdr:nvSpPr>
            <xdr:cNvPr id="1182" name="Check Box 158" hidden="1">
              <a:extLst>
                <a:ext uri="{63B3BB69-23CF-44E3-9099-C40C66FF867C}">
                  <a14:compatExt spid="_x0000_s1182"/>
                </a:ext>
                <a:ext uri="{FF2B5EF4-FFF2-40B4-BE49-F238E27FC236}">
                  <a16:creationId xmlns:a16="http://schemas.microsoft.com/office/drawing/2014/main" id="{00000000-0008-0000-0000-00009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7</xdr:row>
          <xdr:rowOff>12700</xdr:rowOff>
        </xdr:from>
        <xdr:to>
          <xdr:col>9</xdr:col>
          <xdr:colOff>12700</xdr:colOff>
          <xdr:row>8</xdr:row>
          <xdr:rowOff>12700</xdr:rowOff>
        </xdr:to>
        <xdr:sp macro="" textlink="">
          <xdr:nvSpPr>
            <xdr:cNvPr id="1183" name="Check Box 159" hidden="1">
              <a:extLst>
                <a:ext uri="{63B3BB69-23CF-44E3-9099-C40C66FF867C}">
                  <a14:compatExt spid="_x0000_s1183"/>
                </a:ext>
                <a:ext uri="{FF2B5EF4-FFF2-40B4-BE49-F238E27FC236}">
                  <a16:creationId xmlns:a16="http://schemas.microsoft.com/office/drawing/2014/main" id="{00000000-0008-0000-0000-00009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7</xdr:row>
          <xdr:rowOff>12700</xdr:rowOff>
        </xdr:from>
        <xdr:to>
          <xdr:col>8</xdr:col>
          <xdr:colOff>12700</xdr:colOff>
          <xdr:row>8</xdr:row>
          <xdr:rowOff>12700</xdr:rowOff>
        </xdr:to>
        <xdr:sp macro="" textlink="">
          <xdr:nvSpPr>
            <xdr:cNvPr id="1184" name="Check Box 160" hidden="1">
              <a:extLst>
                <a:ext uri="{63B3BB69-23CF-44E3-9099-C40C66FF867C}">
                  <a14:compatExt spid="_x0000_s1184"/>
                </a:ext>
                <a:ext uri="{FF2B5EF4-FFF2-40B4-BE49-F238E27FC236}">
                  <a16:creationId xmlns:a16="http://schemas.microsoft.com/office/drawing/2014/main" id="{00000000-0008-0000-0000-0000A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7</xdr:row>
          <xdr:rowOff>12700</xdr:rowOff>
        </xdr:from>
        <xdr:to>
          <xdr:col>7</xdr:col>
          <xdr:colOff>0</xdr:colOff>
          <xdr:row>8</xdr:row>
          <xdr:rowOff>12700</xdr:rowOff>
        </xdr:to>
        <xdr:sp macro="" textlink="">
          <xdr:nvSpPr>
            <xdr:cNvPr id="1185" name="Check Box 161" hidden="1">
              <a:extLst>
                <a:ext uri="{63B3BB69-23CF-44E3-9099-C40C66FF867C}">
                  <a14:compatExt spid="_x0000_s1185"/>
                </a:ext>
                <a:ext uri="{FF2B5EF4-FFF2-40B4-BE49-F238E27FC236}">
                  <a16:creationId xmlns:a16="http://schemas.microsoft.com/office/drawing/2014/main" id="{00000000-0008-0000-0000-0000A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7</xdr:row>
          <xdr:rowOff>12700</xdr:rowOff>
        </xdr:from>
        <xdr:to>
          <xdr:col>6</xdr:col>
          <xdr:colOff>12700</xdr:colOff>
          <xdr:row>8</xdr:row>
          <xdr:rowOff>12700</xdr:rowOff>
        </xdr:to>
        <xdr:sp macro="" textlink="">
          <xdr:nvSpPr>
            <xdr:cNvPr id="1186" name="Check Box 162" hidden="1">
              <a:extLst>
                <a:ext uri="{63B3BB69-23CF-44E3-9099-C40C66FF867C}">
                  <a14:compatExt spid="_x0000_s1186"/>
                </a:ext>
                <a:ext uri="{FF2B5EF4-FFF2-40B4-BE49-F238E27FC236}">
                  <a16:creationId xmlns:a16="http://schemas.microsoft.com/office/drawing/2014/main" id="{00000000-0008-0000-0000-0000A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7</xdr:row>
          <xdr:rowOff>12700</xdr:rowOff>
        </xdr:from>
        <xdr:to>
          <xdr:col>5</xdr:col>
          <xdr:colOff>12700</xdr:colOff>
          <xdr:row>8</xdr:row>
          <xdr:rowOff>12700</xdr:rowOff>
        </xdr:to>
        <xdr:sp macro="" textlink="">
          <xdr:nvSpPr>
            <xdr:cNvPr id="1187" name="Check Box 163" hidden="1">
              <a:extLst>
                <a:ext uri="{63B3BB69-23CF-44E3-9099-C40C66FF867C}">
                  <a14:compatExt spid="_x0000_s1187"/>
                </a:ext>
                <a:ext uri="{FF2B5EF4-FFF2-40B4-BE49-F238E27FC236}">
                  <a16:creationId xmlns:a16="http://schemas.microsoft.com/office/drawing/2014/main" id="{00000000-0008-0000-0000-0000A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7</xdr:row>
          <xdr:rowOff>12700</xdr:rowOff>
        </xdr:from>
        <xdr:to>
          <xdr:col>4</xdr:col>
          <xdr:colOff>12700</xdr:colOff>
          <xdr:row>8</xdr:row>
          <xdr:rowOff>12700</xdr:rowOff>
        </xdr:to>
        <xdr:sp macro="" textlink="">
          <xdr:nvSpPr>
            <xdr:cNvPr id="1188" name="Check Box 164" hidden="1">
              <a:extLst>
                <a:ext uri="{63B3BB69-23CF-44E3-9099-C40C66FF867C}">
                  <a14:compatExt spid="_x0000_s1188"/>
                </a:ext>
                <a:ext uri="{FF2B5EF4-FFF2-40B4-BE49-F238E27FC236}">
                  <a16:creationId xmlns:a16="http://schemas.microsoft.com/office/drawing/2014/main" id="{00000000-0008-0000-0000-0000A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7</xdr:row>
          <xdr:rowOff>12700</xdr:rowOff>
        </xdr:from>
        <xdr:to>
          <xdr:col>3</xdr:col>
          <xdr:colOff>12700</xdr:colOff>
          <xdr:row>8</xdr:row>
          <xdr:rowOff>12700</xdr:rowOff>
        </xdr:to>
        <xdr:sp macro="" textlink="">
          <xdr:nvSpPr>
            <xdr:cNvPr id="1189" name="Check Box 165" hidden="1">
              <a:extLst>
                <a:ext uri="{63B3BB69-23CF-44E3-9099-C40C66FF867C}">
                  <a14:compatExt spid="_x0000_s1189"/>
                </a:ext>
                <a:ext uri="{FF2B5EF4-FFF2-40B4-BE49-F238E27FC236}">
                  <a16:creationId xmlns:a16="http://schemas.microsoft.com/office/drawing/2014/main" id="{00000000-0008-0000-0000-0000A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2184400</xdr:colOff>
          <xdr:row>7</xdr:row>
          <xdr:rowOff>12700</xdr:rowOff>
        </xdr:from>
        <xdr:to>
          <xdr:col>2</xdr:col>
          <xdr:colOff>12700</xdr:colOff>
          <xdr:row>8</xdr:row>
          <xdr:rowOff>12700</xdr:rowOff>
        </xdr:to>
        <xdr:sp macro="" textlink="">
          <xdr:nvSpPr>
            <xdr:cNvPr id="1190" name="Check Box 166" hidden="1">
              <a:extLst>
                <a:ext uri="{63B3BB69-23CF-44E3-9099-C40C66FF867C}">
                  <a14:compatExt spid="_x0000_s1190"/>
                </a:ext>
                <a:ext uri="{FF2B5EF4-FFF2-40B4-BE49-F238E27FC236}">
                  <a16:creationId xmlns:a16="http://schemas.microsoft.com/office/drawing/2014/main" id="{00000000-0008-0000-0000-0000A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endParaRPr lang="en-US" sz="2400" b="0" i="0" u="none" strike="noStrike" baseline="0">
                <a:solidFill>
                  <a:srgbClr val="000000"/>
                </a:solidFill>
                <a:latin typeface="Aptos Narrow" charset="0"/>
              </a:endParaRPr>
            </a:p>
            <a:p>
              <a:pPr algn="l" rtl="0">
                <a:defRPr sz="1000"/>
              </a:pPr>
              <a:endParaRPr lang="en-US" sz="2400" b="0" i="0" u="none" strike="noStrike" baseline="0">
                <a:solidFill>
                  <a:srgbClr val="000000"/>
                </a:solidFill>
                <a:latin typeface="Aptos Narrow" charset="0"/>
              </a:endParaRPr>
            </a:p>
          </xdr:txBody>
        </xdr:sp>
        <xdr:clientData/>
      </xdr:twoCellAnchor>
    </mc:Choice>
    <mc:Fallback/>
  </mc:AlternateContent>
  <xdr:twoCellAnchor>
    <xdr:from>
      <xdr:col>0</xdr:col>
      <xdr:colOff>32902</xdr:colOff>
      <xdr:row>0</xdr:row>
      <xdr:rowOff>14583</xdr:rowOff>
    </xdr:from>
    <xdr:to>
      <xdr:col>0</xdr:col>
      <xdr:colOff>2473628</xdr:colOff>
      <xdr:row>7</xdr:row>
      <xdr:rowOff>481394</xdr:rowOff>
    </xdr:to>
    <xdr:sp macro="" textlink="">
      <xdr:nvSpPr>
        <xdr:cNvPr id="2" name="Rectangle 1">
          <a:extLst>
            <a:ext uri="{FF2B5EF4-FFF2-40B4-BE49-F238E27FC236}">
              <a16:creationId xmlns:a16="http://schemas.microsoft.com/office/drawing/2014/main" id="{75D23669-050D-5C97-474A-D9E21A7F0679}"/>
            </a:ext>
          </a:extLst>
        </xdr:cNvPr>
        <xdr:cNvSpPr/>
      </xdr:nvSpPr>
      <xdr:spPr>
        <a:xfrm>
          <a:off x="32902" y="14583"/>
          <a:ext cx="2440726" cy="401359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1">
            <a:solidFill>
              <a:srgbClr val="B11125"/>
            </a:solidFill>
          </a:endParaRP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4.xml"/><Relationship Id="rId21" Type="http://schemas.openxmlformats.org/officeDocument/2006/relationships/ctrlProp" Target="../ctrlProps/ctrlProp19.xml"/><Relationship Id="rId34" Type="http://schemas.openxmlformats.org/officeDocument/2006/relationships/ctrlProp" Target="../ctrlProps/ctrlProp32.xml"/><Relationship Id="rId42" Type="http://schemas.openxmlformats.org/officeDocument/2006/relationships/ctrlProp" Target="../ctrlProps/ctrlProp40.xml"/><Relationship Id="rId47" Type="http://schemas.openxmlformats.org/officeDocument/2006/relationships/ctrlProp" Target="../ctrlProps/ctrlProp45.xml"/><Relationship Id="rId50" Type="http://schemas.openxmlformats.org/officeDocument/2006/relationships/ctrlProp" Target="../ctrlProps/ctrlProp48.xml"/><Relationship Id="rId55" Type="http://schemas.openxmlformats.org/officeDocument/2006/relationships/ctrlProp" Target="../ctrlProps/ctrlProp53.xml"/><Relationship Id="rId63" Type="http://schemas.openxmlformats.org/officeDocument/2006/relationships/ctrlProp" Target="../ctrlProps/ctrlProp61.xml"/><Relationship Id="rId7" Type="http://schemas.openxmlformats.org/officeDocument/2006/relationships/ctrlProp" Target="../ctrlProps/ctrlProp5.xml"/><Relationship Id="rId2" Type="http://schemas.openxmlformats.org/officeDocument/2006/relationships/vmlDrawing" Target="../drawings/vmlDrawing1.vml"/><Relationship Id="rId16" Type="http://schemas.openxmlformats.org/officeDocument/2006/relationships/ctrlProp" Target="../ctrlProps/ctrlProp14.xml"/><Relationship Id="rId29" Type="http://schemas.openxmlformats.org/officeDocument/2006/relationships/ctrlProp" Target="../ctrlProps/ctrlProp27.xml"/><Relationship Id="rId11" Type="http://schemas.openxmlformats.org/officeDocument/2006/relationships/ctrlProp" Target="../ctrlProps/ctrlProp9.xml"/><Relationship Id="rId24" Type="http://schemas.openxmlformats.org/officeDocument/2006/relationships/ctrlProp" Target="../ctrlProps/ctrlProp22.xml"/><Relationship Id="rId32" Type="http://schemas.openxmlformats.org/officeDocument/2006/relationships/ctrlProp" Target="../ctrlProps/ctrlProp30.xml"/><Relationship Id="rId37" Type="http://schemas.openxmlformats.org/officeDocument/2006/relationships/ctrlProp" Target="../ctrlProps/ctrlProp35.xml"/><Relationship Id="rId40" Type="http://schemas.openxmlformats.org/officeDocument/2006/relationships/ctrlProp" Target="../ctrlProps/ctrlProp38.xml"/><Relationship Id="rId45" Type="http://schemas.openxmlformats.org/officeDocument/2006/relationships/ctrlProp" Target="../ctrlProps/ctrlProp43.xml"/><Relationship Id="rId53" Type="http://schemas.openxmlformats.org/officeDocument/2006/relationships/ctrlProp" Target="../ctrlProps/ctrlProp51.xml"/><Relationship Id="rId58" Type="http://schemas.openxmlformats.org/officeDocument/2006/relationships/ctrlProp" Target="../ctrlProps/ctrlProp56.xml"/><Relationship Id="rId66" Type="http://schemas.openxmlformats.org/officeDocument/2006/relationships/ctrlProp" Target="../ctrlProps/ctrlProp64.xml"/><Relationship Id="rId5" Type="http://schemas.openxmlformats.org/officeDocument/2006/relationships/ctrlProp" Target="../ctrlProps/ctrlProp3.xml"/><Relationship Id="rId61" Type="http://schemas.openxmlformats.org/officeDocument/2006/relationships/ctrlProp" Target="../ctrlProps/ctrlProp59.xml"/><Relationship Id="rId19" Type="http://schemas.openxmlformats.org/officeDocument/2006/relationships/ctrlProp" Target="../ctrlProps/ctrlProp1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 Id="rId35" Type="http://schemas.openxmlformats.org/officeDocument/2006/relationships/ctrlProp" Target="../ctrlProps/ctrlProp33.xml"/><Relationship Id="rId43" Type="http://schemas.openxmlformats.org/officeDocument/2006/relationships/ctrlProp" Target="../ctrlProps/ctrlProp41.xml"/><Relationship Id="rId48" Type="http://schemas.openxmlformats.org/officeDocument/2006/relationships/ctrlProp" Target="../ctrlProps/ctrlProp46.xml"/><Relationship Id="rId56" Type="http://schemas.openxmlformats.org/officeDocument/2006/relationships/ctrlProp" Target="../ctrlProps/ctrlProp54.xml"/><Relationship Id="rId64" Type="http://schemas.openxmlformats.org/officeDocument/2006/relationships/ctrlProp" Target="../ctrlProps/ctrlProp62.xml"/><Relationship Id="rId8" Type="http://schemas.openxmlformats.org/officeDocument/2006/relationships/ctrlProp" Target="../ctrlProps/ctrlProp6.xml"/><Relationship Id="rId51" Type="http://schemas.openxmlformats.org/officeDocument/2006/relationships/ctrlProp" Target="../ctrlProps/ctrlProp49.xml"/><Relationship Id="rId3" Type="http://schemas.openxmlformats.org/officeDocument/2006/relationships/ctrlProp" Target="../ctrlProps/ctrlProp1.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33" Type="http://schemas.openxmlformats.org/officeDocument/2006/relationships/ctrlProp" Target="../ctrlProps/ctrlProp31.xml"/><Relationship Id="rId38" Type="http://schemas.openxmlformats.org/officeDocument/2006/relationships/ctrlProp" Target="../ctrlProps/ctrlProp36.xml"/><Relationship Id="rId46" Type="http://schemas.openxmlformats.org/officeDocument/2006/relationships/ctrlProp" Target="../ctrlProps/ctrlProp44.xml"/><Relationship Id="rId59" Type="http://schemas.openxmlformats.org/officeDocument/2006/relationships/ctrlProp" Target="../ctrlProps/ctrlProp57.xml"/><Relationship Id="rId20" Type="http://schemas.openxmlformats.org/officeDocument/2006/relationships/ctrlProp" Target="../ctrlProps/ctrlProp18.xml"/><Relationship Id="rId41" Type="http://schemas.openxmlformats.org/officeDocument/2006/relationships/ctrlProp" Target="../ctrlProps/ctrlProp39.xml"/><Relationship Id="rId54" Type="http://schemas.openxmlformats.org/officeDocument/2006/relationships/ctrlProp" Target="../ctrlProps/ctrlProp52.xml"/><Relationship Id="rId62" Type="http://schemas.openxmlformats.org/officeDocument/2006/relationships/ctrlProp" Target="../ctrlProps/ctrlProp60.xml"/><Relationship Id="rId1" Type="http://schemas.openxmlformats.org/officeDocument/2006/relationships/drawing" Target="../drawings/drawing1.xml"/><Relationship Id="rId6" Type="http://schemas.openxmlformats.org/officeDocument/2006/relationships/ctrlProp" Target="../ctrlProps/ctrlProp4.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36" Type="http://schemas.openxmlformats.org/officeDocument/2006/relationships/ctrlProp" Target="../ctrlProps/ctrlProp34.xml"/><Relationship Id="rId49" Type="http://schemas.openxmlformats.org/officeDocument/2006/relationships/ctrlProp" Target="../ctrlProps/ctrlProp47.xml"/><Relationship Id="rId57" Type="http://schemas.openxmlformats.org/officeDocument/2006/relationships/ctrlProp" Target="../ctrlProps/ctrlProp55.xml"/><Relationship Id="rId10" Type="http://schemas.openxmlformats.org/officeDocument/2006/relationships/ctrlProp" Target="../ctrlProps/ctrlProp8.xml"/><Relationship Id="rId31" Type="http://schemas.openxmlformats.org/officeDocument/2006/relationships/ctrlProp" Target="../ctrlProps/ctrlProp29.xml"/><Relationship Id="rId44" Type="http://schemas.openxmlformats.org/officeDocument/2006/relationships/ctrlProp" Target="../ctrlProps/ctrlProp42.xml"/><Relationship Id="rId52" Type="http://schemas.openxmlformats.org/officeDocument/2006/relationships/ctrlProp" Target="../ctrlProps/ctrlProp50.xml"/><Relationship Id="rId60" Type="http://schemas.openxmlformats.org/officeDocument/2006/relationships/ctrlProp" Target="../ctrlProps/ctrlProp58.xml"/><Relationship Id="rId65" Type="http://schemas.openxmlformats.org/officeDocument/2006/relationships/ctrlProp" Target="../ctrlProps/ctrlProp63.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DA68C-2F9E-984A-A18D-2CC5ECBD0DA9}">
  <sheetPr>
    <tabColor rgb="FFB11226"/>
  </sheetPr>
  <dimension ref="A1:BF56"/>
  <sheetViews>
    <sheetView showGridLines="0" tabSelected="1" zoomScale="150" zoomScaleNormal="193" workbookViewId="0">
      <selection activeCell="K2" sqref="K2"/>
    </sheetView>
  </sheetViews>
  <sheetFormatPr baseColWidth="10" defaultRowHeight="16"/>
  <cols>
    <col min="1" max="1" width="32.6640625" customWidth="1"/>
    <col min="2" max="9" width="6.83203125" customWidth="1"/>
    <col min="10" max="10" width="7.6640625" customWidth="1"/>
    <col min="11" max="11" width="6.83203125" customWidth="1"/>
    <col min="12" max="15" width="3.83203125" customWidth="1"/>
    <col min="16" max="16" width="8" customWidth="1"/>
    <col min="17" max="21" width="2.83203125" hidden="1" customWidth="1"/>
    <col min="22" max="90" width="2.83203125" customWidth="1"/>
  </cols>
  <sheetData>
    <row r="1" spans="1:58" ht="40" customHeight="1">
      <c r="A1" s="15"/>
      <c r="B1" s="19" t="str">
        <f ca="1">IF(UPPER(livegame!I5)="K1","♔",
IF(UPPER(livegame!I5)="Q1","♕",
IF(UPPER(livegame!I5)="R1","♖",
IF(UPPER(livegame!I5)="B1","♗",
IF(UPPER(livegame!I5)="N1","♘",
IF(UPPER(livegame!I5)="P1","♙",
IF(UPPER(livegame!I5)="K2","♚",
IF(UPPER(livegame!I5)="Q2","♛",
IF(UPPER(livegame!I5)="R2","♜",
IF(UPPER(livegame!I5)="B2","♝",
IF(UPPER(livegame!I5)="N2","♞",
IF(UPPER(livegame!I5)="P2","♟",""))))))))))))</f>
        <v>♖</v>
      </c>
      <c r="C1" s="20" t="str">
        <f ca="1">IF(UPPER(livegame!J5)="K1","♔",
IF(UPPER(livegame!J5)="Q1","♕",
IF(UPPER(livegame!J5)="R1","♖",
IF(UPPER(livegame!J5)="B1","♗",
IF(UPPER(livegame!J5)="N1","♘",
IF(UPPER(livegame!J5)="P1","♙",
IF(UPPER(livegame!J5)="K2","♚",
IF(UPPER(livegame!J5)="Q2","♛",
IF(UPPER(livegame!J5)="R2","♜",
IF(UPPER(livegame!J5)="B2","♝",
IF(UPPER(livegame!J5)="N2","♞",
IF(UPPER(livegame!J5)="P2","♟",""))))))))))))</f>
        <v>♘</v>
      </c>
      <c r="D1" s="21" t="str">
        <f ca="1">IF(UPPER(livegame!K5)="K1","♔",
IF(UPPER(livegame!K5)="Q1","♕",
IF(UPPER(livegame!K5)="R1","♖",
IF(UPPER(livegame!K5)="B1","♗",
IF(UPPER(livegame!K5)="N1","♘",
IF(UPPER(livegame!K5)="P1","♙",
IF(UPPER(livegame!K5)="K2","♚",
IF(UPPER(livegame!K5)="Q2","♛",
IF(UPPER(livegame!K5)="R2","♜",
IF(UPPER(livegame!K5)="B2","♝",
IF(UPPER(livegame!K5)="N2","♞",
IF(UPPER(livegame!K5)="P2","♟",""))))))))))))</f>
        <v>♗</v>
      </c>
      <c r="E1" s="20" t="str">
        <f ca="1">IF(UPPER(livegame!L5)="K1","♔",
IF(UPPER(livegame!L5)="Q1","♕",
IF(UPPER(livegame!L5)="R1","♖",
IF(UPPER(livegame!L5)="B1","♗",
IF(UPPER(livegame!L5)="N1","♘",
IF(UPPER(livegame!L5)="P1","♙",
IF(UPPER(livegame!L5)="K2","♚",
IF(UPPER(livegame!L5)="Q2","♛",
IF(UPPER(livegame!L5)="R2","♜",
IF(UPPER(livegame!L5)="B2","♝",
IF(UPPER(livegame!L5)="N2","♞",
IF(UPPER(livegame!L5)="P2","♟",""))))))))))))</f>
        <v>♔</v>
      </c>
      <c r="F1" s="21" t="str">
        <f ca="1">IF(UPPER(livegame!M5)="K1","♔",
IF(UPPER(livegame!M5)="Q1","♕",
IF(UPPER(livegame!M5)="R1","♖",
IF(UPPER(livegame!M5)="B1","♗",
IF(UPPER(livegame!M5)="N1","♘",
IF(UPPER(livegame!M5)="P1","♙",
IF(UPPER(livegame!M5)="K2","♚",
IF(UPPER(livegame!M5)="Q2","♛",
IF(UPPER(livegame!M5)="R2","♜",
IF(UPPER(livegame!M5)="B2","♝",
IF(UPPER(livegame!M5)="N2","♞",
IF(UPPER(livegame!M5)="P2","♟",""))))))))))))</f>
        <v>♕</v>
      </c>
      <c r="G1" s="20" t="str">
        <f ca="1">IF(UPPER(livegame!N5)="K1","♔",
IF(UPPER(livegame!N5)="Q1","♕",
IF(UPPER(livegame!N5)="R1","♖",
IF(UPPER(livegame!N5)="B1","♗",
IF(UPPER(livegame!N5)="N1","♘",
IF(UPPER(livegame!N5)="P1","♙",
IF(UPPER(livegame!N5)="K2","♚",
IF(UPPER(livegame!N5)="Q2","♛",
IF(UPPER(livegame!N5)="R2","♜",
IF(UPPER(livegame!N5)="B2","♝",
IF(UPPER(livegame!N5)="N2","♞",
IF(UPPER(livegame!N5)="P2","♟",""))))))))))))</f>
        <v>♗</v>
      </c>
      <c r="H1" s="21" t="str">
        <f ca="1">IF(UPPER(livegame!O5)="K1","♔",
IF(UPPER(livegame!O5)="Q1","♕",
IF(UPPER(livegame!O5)="R1","♖",
IF(UPPER(livegame!O5)="B1","♗",
IF(UPPER(livegame!O5)="N1","♘",
IF(UPPER(livegame!O5)="P1","♙",
IF(UPPER(livegame!O5)="K2","♚",
IF(UPPER(livegame!O5)="Q2","♛",
IF(UPPER(livegame!O5)="R2","♜",
IF(UPPER(livegame!O5)="B2","♝",
IF(UPPER(livegame!O5)="N2","♞",
IF(UPPER(livegame!O5)="P2","♟",""))))))))))))</f>
        <v>♘</v>
      </c>
      <c r="I1" s="22" t="str">
        <f ca="1">IF(UPPER(livegame!P5)="K1","♔",
IF(UPPER(livegame!P5)="Q1","♕",
IF(UPPER(livegame!P5)="R1","♖",
IF(UPPER(livegame!P5)="B1","♗",
IF(UPPER(livegame!P5)="N1","♘",
IF(UPPER(livegame!P5)="P1","♙",
IF(UPPER(livegame!P5)="K2","♚",
IF(UPPER(livegame!P5)="Q2","♛",
IF(UPPER(livegame!P5)="R2","♜",
IF(UPPER(livegame!P5)="B2","♝",
IF(UPPER(livegame!P5)="N2","♞",
IF(UPPER(livegame!P5)="P2","♟",""))))))))))))</f>
        <v>♖</v>
      </c>
      <c r="J1" s="16"/>
      <c r="K1" s="18">
        <f ca="1">IF(livegame!S17&lt;&gt;"",livegame!S17,IF(AND(livegame!X23&lt;&gt;"",livegame!X23&lt;&gt;0),livegame!X23,IF(livegame!R16=1,"♔  WHITE TO MOVE","♚  BLACK TO MOVE")))</f>
      </c>
      <c r="L1" s="18"/>
      <c r="M1" s="18"/>
      <c r="N1" s="18"/>
      <c r="O1" s="18"/>
      <c r="P1" s="18"/>
      <c r="Q1" s="18"/>
      <c r="R1" s="18"/>
      <c r="S1" s="18"/>
      <c r="T1" s="18"/>
      <c r="U1" s="18"/>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row>
    <row r="2" spans="1:58" ht="40" customHeight="1">
      <c r="B2" s="23" t="str">
        <f ca="1">IF(UPPER(livegame!I6)="K1","♔",
IF(UPPER(livegame!I6)="Q1","♕",
IF(UPPER(livegame!I6)="R1","♖",
IF(UPPER(livegame!I6)="B1","♗",
IF(UPPER(livegame!I6)="N1","♘",
IF(UPPER(livegame!I6)="P1","♙",
IF(UPPER(livegame!I6)="K2","♚",
IF(UPPER(livegame!I6)="Q2","♛",
IF(UPPER(livegame!I6)="R2","♜",
IF(UPPER(livegame!I6)="B2","♝",
IF(UPPER(livegame!I6)="N2","♞",
IF(UPPER(livegame!I6)="P2","♟",""))))))))))))</f>
        <v>♙</v>
      </c>
      <c r="C2" s="24" t="str">
        <f ca="1">IF(UPPER(livegame!J6)="K1","♔",
IF(UPPER(livegame!J6)="Q1","♕",
IF(UPPER(livegame!J6)="R1","♖",
IF(UPPER(livegame!J6)="B1","♗",
IF(UPPER(livegame!J6)="N1","♘",
IF(UPPER(livegame!J6)="P1","♙",
IF(UPPER(livegame!J6)="K2","♚",
IF(UPPER(livegame!J6)="Q2","♛",
IF(UPPER(livegame!J6)="R2","♜",
IF(UPPER(livegame!J6)="B2","♝",
IF(UPPER(livegame!J6)="N2","♞",
IF(UPPER(livegame!J6)="P2","♟",""))))))))))))</f>
        <v>♙</v>
      </c>
      <c r="D2" s="25" t="str">
        <f ca="1">IF(UPPER(livegame!K6)="K1","♔",
IF(UPPER(livegame!K6)="Q1","♕",
IF(UPPER(livegame!K6)="R1","♖",
IF(UPPER(livegame!K6)="B1","♗",
IF(UPPER(livegame!K6)="N1","♘",
IF(UPPER(livegame!K6)="P1","♙",
IF(UPPER(livegame!K6)="K2","♚",
IF(UPPER(livegame!K6)="Q2","♛",
IF(UPPER(livegame!K6)="R2","♜",
IF(UPPER(livegame!K6)="B2","♝",
IF(UPPER(livegame!K6)="N2","♞",
IF(UPPER(livegame!K6)="P2","♟",""))))))))))))</f>
        <v>♙</v>
      </c>
      <c r="E2" s="24" t="str">
        <f ca="1">IF(UPPER(livegame!L6)="K1","♔",
IF(UPPER(livegame!L6)="Q1","♕",
IF(UPPER(livegame!L6)="R1","♖",
IF(UPPER(livegame!L6)="B1","♗",
IF(UPPER(livegame!L6)="N1","♘",
IF(UPPER(livegame!L6)="P1","♙",
IF(UPPER(livegame!L6)="K2","♚",
IF(UPPER(livegame!L6)="Q2","♛",
IF(UPPER(livegame!L6)="R2","♜",
IF(UPPER(livegame!L6)="B2","♝",
IF(UPPER(livegame!L6)="N2","♞",
IF(UPPER(livegame!L6)="P2","♟",""))))))))))))</f>
        <v>♙</v>
      </c>
      <c r="F2" s="25" t="str">
        <f ca="1">IF(UPPER(livegame!M6)="K1","♔",
IF(UPPER(livegame!M6)="Q1","♕",
IF(UPPER(livegame!M6)="R1","♖",
IF(UPPER(livegame!M6)="B1","♗",
IF(UPPER(livegame!M6)="N1","♘",
IF(UPPER(livegame!M6)="P1","♙",
IF(UPPER(livegame!M6)="K2","♚",
IF(UPPER(livegame!M6)="Q2","♛",
IF(UPPER(livegame!M6)="R2","♜",
IF(UPPER(livegame!M6)="B2","♝",
IF(UPPER(livegame!M6)="N2","♞",
IF(UPPER(livegame!M6)="P2","♟",""))))))))))))</f>
        <v>♙</v>
      </c>
      <c r="G2" s="24" t="str">
        <f ca="1">IF(UPPER(livegame!N6)="K1","♔",
IF(UPPER(livegame!N6)="Q1","♕",
IF(UPPER(livegame!N6)="R1","♖",
IF(UPPER(livegame!N6)="B1","♗",
IF(UPPER(livegame!N6)="N1","♘",
IF(UPPER(livegame!N6)="P1","♙",
IF(UPPER(livegame!N6)="K2","♚",
IF(UPPER(livegame!N6)="Q2","♛",
IF(UPPER(livegame!N6)="R2","♜",
IF(UPPER(livegame!N6)="B2","♝",
IF(UPPER(livegame!N6)="N2","♞",
IF(UPPER(livegame!N6)="P2","♟",""))))))))))))</f>
        <v>♙</v>
      </c>
      <c r="H2" s="25" t="str">
        <f ca="1">IF(UPPER(livegame!O6)="K1","♔",
IF(UPPER(livegame!O6)="Q1","♕",
IF(UPPER(livegame!O6)="R1","♖",
IF(UPPER(livegame!O6)="B1","♗",
IF(UPPER(livegame!O6)="N1","♘",
IF(UPPER(livegame!O6)="P1","♙",
IF(UPPER(livegame!O6)="K2","♚",
IF(UPPER(livegame!O6)="Q2","♛",
IF(UPPER(livegame!O6)="R2","♜",
IF(UPPER(livegame!O6)="B2","♝",
IF(UPPER(livegame!O6)="N2","♞",
IF(UPPER(livegame!O6)="P2","♟",""))))))))))))</f>
        <v>♙</v>
      </c>
      <c r="I2" s="26" t="str">
        <f ca="1">IF(UPPER(livegame!P6)="K1","♔",
IF(UPPER(livegame!P6)="Q1","♕",
IF(UPPER(livegame!P6)="R1","♖",
IF(UPPER(livegame!P6)="B1","♗",
IF(UPPER(livegame!P6)="N1","♘",
IF(UPPER(livegame!P6)="P1","♙",
IF(UPPER(livegame!P6)="K2","♚",
IF(UPPER(livegame!P6)="Q2","♛",
IF(UPPER(livegame!P6)="R2","♜",
IF(UPPER(livegame!P6)="B2","♝",
IF(UPPER(livegame!P6)="N2","♞",
IF(UPPER(livegame!P6)="P2","♟",""))))))))))))</f>
        <v>♙</v>
      </c>
      <c r="J2" s="16"/>
      <c r="K2" s="9" t="b">
        <v>1</v>
      </c>
      <c r="L2" s="33" t="str">
        <f>IF(K2,"Green to Play","Gray to Reset")</f>
        <v>Green to Play</v>
      </c>
      <c r="M2" s="34"/>
      <c r="N2" s="34"/>
      <c r="O2" s="34"/>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row>
    <row r="3" spans="1:58" ht="40" customHeight="1">
      <c r="B3" s="27" t="str">
        <f ca="1">IF(UPPER(livegame!I7)="K1","♔",
IF(UPPER(livegame!I7)="Q1","♕",
IF(UPPER(livegame!I7)="R1","♖",
IF(UPPER(livegame!I7)="B1","♗",
IF(UPPER(livegame!I7)="N1","♘",
IF(UPPER(livegame!I7)="P1","♙",
IF(UPPER(livegame!I7)="K2","♚",
IF(UPPER(livegame!I7)="Q2","♛",
IF(UPPER(livegame!I7)="R2","♜",
IF(UPPER(livegame!I7)="B2","♝",
IF(UPPER(livegame!I7)="N2","♞",
IF(UPPER(livegame!I7)="P2","♟",""))))))))))))</f>
        <v/>
      </c>
      <c r="C3" s="25" t="str">
        <f ca="1">IF(UPPER(livegame!J7)="K1","♔",
IF(UPPER(livegame!J7)="Q1","♕",
IF(UPPER(livegame!J7)="R1","♖",
IF(UPPER(livegame!J7)="B1","♗",
IF(UPPER(livegame!J7)="N1","♘",
IF(UPPER(livegame!J7)="P1","♙",
IF(UPPER(livegame!J7)="K2","♚",
IF(UPPER(livegame!J7)="Q2","♛",
IF(UPPER(livegame!J7)="R2","♜",
IF(UPPER(livegame!J7)="B2","♝",
IF(UPPER(livegame!J7)="N2","♞",
IF(UPPER(livegame!J7)="P2","♟",""))))))))))))</f>
        <v/>
      </c>
      <c r="D3" s="24" t="str">
        <f ca="1">IF(UPPER(livegame!K7)="K1","♔",
IF(UPPER(livegame!K7)="Q1","♕",
IF(UPPER(livegame!K7)="R1","♖",
IF(UPPER(livegame!K7)="B1","♗",
IF(UPPER(livegame!K7)="N1","♘",
IF(UPPER(livegame!K7)="P1","♙",
IF(UPPER(livegame!K7)="K2","♚",
IF(UPPER(livegame!K7)="Q2","♛",
IF(UPPER(livegame!K7)="R2","♜",
IF(UPPER(livegame!K7)="B2","♝",
IF(UPPER(livegame!K7)="N2","♞",
IF(UPPER(livegame!K7)="P2","♟",""))))))))))))</f>
        <v/>
      </c>
      <c r="E3" s="25" t="str">
        <f ca="1">IF(UPPER(livegame!L7)="K1","♔",
IF(UPPER(livegame!L7)="Q1","♕",
IF(UPPER(livegame!L7)="R1","♖",
IF(UPPER(livegame!L7)="B1","♗",
IF(UPPER(livegame!L7)="N1","♘",
IF(UPPER(livegame!L7)="P1","♙",
IF(UPPER(livegame!L7)="K2","♚",
IF(UPPER(livegame!L7)="Q2","♛",
IF(UPPER(livegame!L7)="R2","♜",
IF(UPPER(livegame!L7)="B2","♝",
IF(UPPER(livegame!L7)="N2","♞",
IF(UPPER(livegame!L7)="P2","♟",""))))))))))))</f>
        <v/>
      </c>
      <c r="F3" s="24" t="str">
        <f ca="1">IF(UPPER(livegame!M7)="K1","♔",
IF(UPPER(livegame!M7)="Q1","♕",
IF(UPPER(livegame!M7)="R1","♖",
IF(UPPER(livegame!M7)="B1","♗",
IF(UPPER(livegame!M7)="N1","♘",
IF(UPPER(livegame!M7)="P1","♙",
IF(UPPER(livegame!M7)="K2","♚",
IF(UPPER(livegame!M7)="Q2","♛",
IF(UPPER(livegame!M7)="R2","♜",
IF(UPPER(livegame!M7)="B2","♝",
IF(UPPER(livegame!M7)="N2","♞",
IF(UPPER(livegame!M7)="P2","♟",""))))))))))))</f>
        <v/>
      </c>
      <c r="G3" s="25" t="str">
        <f ca="1">IF(UPPER(livegame!N7)="K1","♔",
IF(UPPER(livegame!N7)="Q1","♕",
IF(UPPER(livegame!N7)="R1","♖",
IF(UPPER(livegame!N7)="B1","♗",
IF(UPPER(livegame!N7)="N1","♘",
IF(UPPER(livegame!N7)="P1","♙",
IF(UPPER(livegame!N7)="K2","♚",
IF(UPPER(livegame!N7)="Q2","♛",
IF(UPPER(livegame!N7)="R2","♜",
IF(UPPER(livegame!N7)="B2","♝",
IF(UPPER(livegame!N7)="N2","♞",
IF(UPPER(livegame!N7)="P2","♟",""))))))))))))</f>
        <v/>
      </c>
      <c r="H3" s="24" t="str">
        <f ca="1">IF(UPPER(livegame!O7)="K1","♔",
IF(UPPER(livegame!O7)="Q1","♕",
IF(UPPER(livegame!O7)="R1","♖",
IF(UPPER(livegame!O7)="B1","♗",
IF(UPPER(livegame!O7)="N1","♘",
IF(UPPER(livegame!O7)="P1","♙",
IF(UPPER(livegame!O7)="K2","♚",
IF(UPPER(livegame!O7)="Q2","♛",
IF(UPPER(livegame!O7)="R2","♜",
IF(UPPER(livegame!O7)="B2","♝",
IF(UPPER(livegame!O7)="N2","♞",
IF(UPPER(livegame!O7)="P2","♟",""))))))))))))</f>
        <v/>
      </c>
      <c r="I3" s="28" t="str">
        <f ca="1">IF(UPPER(livegame!P7)="K1","♔",
IF(UPPER(livegame!P7)="Q1","♕",
IF(UPPER(livegame!P7)="R1","♖",
IF(UPPER(livegame!P7)="B1","♗",
IF(UPPER(livegame!P7)="N1","♘",
IF(UPPER(livegame!P7)="P1","♙",
IF(UPPER(livegame!P7)="K2","♚",
IF(UPPER(livegame!P7)="Q2","♛",
IF(UPPER(livegame!P7)="R2","♜",
IF(UPPER(livegame!P7)="B2","♝",
IF(UPPER(livegame!P7)="N2","♞",
IF(UPPER(livegame!P7)="P2","♟",""))))))))))))</f>
        <v/>
      </c>
      <c r="J3" s="16"/>
      <c r="K3" s="17" t="s">
        <v>41</v>
      </c>
      <c r="L3" s="17"/>
      <c r="M3" s="17"/>
      <c r="N3" s="17"/>
      <c r="O3" s="17"/>
      <c r="P3" s="17"/>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row>
    <row r="4" spans="1:58" ht="40" customHeight="1">
      <c r="B4" s="23" t="str">
        <f ca="1">IF(UPPER(livegame!I8)="K1","♔",
IF(UPPER(livegame!I8)="Q1","♕",
IF(UPPER(livegame!I8)="R1","♖",
IF(UPPER(livegame!I8)="B1","♗",
IF(UPPER(livegame!I8)="N1","♘",
IF(UPPER(livegame!I8)="P1","♙",
IF(UPPER(livegame!I8)="K2","♚",
IF(UPPER(livegame!I8)="Q2","♛",
IF(UPPER(livegame!I8)="R2","♜",
IF(UPPER(livegame!I8)="B2","♝",
IF(UPPER(livegame!I8)="N2","♞",
IF(UPPER(livegame!I8)="P2","♟",""))))))))))))</f>
        <v/>
      </c>
      <c r="C4" s="24" t="str">
        <f ca="1">IF(UPPER(livegame!J8)="K1","♔",
IF(UPPER(livegame!J8)="Q1","♕",
IF(UPPER(livegame!J8)="R1","♖",
IF(UPPER(livegame!J8)="B1","♗",
IF(UPPER(livegame!J8)="N1","♘",
IF(UPPER(livegame!J8)="P1","♙",
IF(UPPER(livegame!J8)="K2","♚",
IF(UPPER(livegame!J8)="Q2","♛",
IF(UPPER(livegame!J8)="R2","♜",
IF(UPPER(livegame!J8)="B2","♝",
IF(UPPER(livegame!J8)="N2","♞",
IF(UPPER(livegame!J8)="P2","♟",""))))))))))))</f>
        <v/>
      </c>
      <c r="D4" s="25" t="str">
        <f ca="1">IF(UPPER(livegame!K8)="K1","♔",
IF(UPPER(livegame!K8)="Q1","♕",
IF(UPPER(livegame!K8)="R1","♖",
IF(UPPER(livegame!K8)="B1","♗",
IF(UPPER(livegame!K8)="N1","♘",
IF(UPPER(livegame!K8)="P1","♙",
IF(UPPER(livegame!K8)="K2","♚",
IF(UPPER(livegame!K8)="Q2","♛",
IF(UPPER(livegame!K8)="R2","♜",
IF(UPPER(livegame!K8)="B2","♝",
IF(UPPER(livegame!K8)="N2","♞",
IF(UPPER(livegame!K8)="P2","♟",""))))))))))))</f>
        <v/>
      </c>
      <c r="E4" s="24" t="str">
        <f ca="1">IF(UPPER(livegame!L8)="K1","♔",
IF(UPPER(livegame!L8)="Q1","♕",
IF(UPPER(livegame!L8)="R1","♖",
IF(UPPER(livegame!L8)="B1","♗",
IF(UPPER(livegame!L8)="N1","♘",
IF(UPPER(livegame!L8)="P1","♙",
IF(UPPER(livegame!L8)="K2","♚",
IF(UPPER(livegame!L8)="Q2","♛",
IF(UPPER(livegame!L8)="R2","♜",
IF(UPPER(livegame!L8)="B2","♝",
IF(UPPER(livegame!L8)="N2","♞",
IF(UPPER(livegame!L8)="P2","♟",""))))))))))))</f>
        <v/>
      </c>
      <c r="F4" s="25" t="str">
        <f ca="1">IF(UPPER(livegame!M8)="K1","♔",
IF(UPPER(livegame!M8)="Q1","♕",
IF(UPPER(livegame!M8)="R1","♖",
IF(UPPER(livegame!M8)="B1","♗",
IF(UPPER(livegame!M8)="N1","♘",
IF(UPPER(livegame!M8)="P1","♙",
IF(UPPER(livegame!M8)="K2","♚",
IF(UPPER(livegame!M8)="Q2","♛",
IF(UPPER(livegame!M8)="R2","♜",
IF(UPPER(livegame!M8)="B2","♝",
IF(UPPER(livegame!M8)="N2","♞",
IF(UPPER(livegame!M8)="P2","♟",""))))))))))))</f>
        <v/>
      </c>
      <c r="G4" s="24" t="str">
        <f ca="1">IF(UPPER(livegame!N8)="K1","♔",
IF(UPPER(livegame!N8)="Q1","♕",
IF(UPPER(livegame!N8)="R1","♖",
IF(UPPER(livegame!N8)="B1","♗",
IF(UPPER(livegame!N8)="N1","♘",
IF(UPPER(livegame!N8)="P1","♙",
IF(UPPER(livegame!N8)="K2","♚",
IF(UPPER(livegame!N8)="Q2","♛",
IF(UPPER(livegame!N8)="R2","♜",
IF(UPPER(livegame!N8)="B2","♝",
IF(UPPER(livegame!N8)="N2","♞",
IF(UPPER(livegame!N8)="P2","♟",""))))))))))))</f>
        <v/>
      </c>
      <c r="H4" s="25" t="str">
        <f ca="1">IF(UPPER(livegame!O8)="K1","♔",
IF(UPPER(livegame!O8)="Q1","♕",
IF(UPPER(livegame!O8)="R1","♖",
IF(UPPER(livegame!O8)="B1","♗",
IF(UPPER(livegame!O8)="N1","♘",
IF(UPPER(livegame!O8)="P1","♙",
IF(UPPER(livegame!O8)="K2","♚",
IF(UPPER(livegame!O8)="Q2","♛",
IF(UPPER(livegame!O8)="R2","♜",
IF(UPPER(livegame!O8)="B2","♝",
IF(UPPER(livegame!O8)="N2","♞",
IF(UPPER(livegame!O8)="P2","♟",""))))))))))))</f>
        <v/>
      </c>
      <c r="I4" s="26" t="str">
        <f ca="1">IF(UPPER(livegame!P8)="K1","♔",
IF(UPPER(livegame!P8)="Q1","♕",
IF(UPPER(livegame!P8)="R1","♖",
IF(UPPER(livegame!P8)="B1","♗",
IF(UPPER(livegame!P8)="N1","♘",
IF(UPPER(livegame!P8)="P1","♙",
IF(UPPER(livegame!P8)="K2","♚",
IF(UPPER(livegame!P8)="Q2","♛",
IF(UPPER(livegame!P8)="R2","♜",
IF(UPPER(livegame!P8)="B2","♝",
IF(UPPER(livegame!P8)="N2","♞",
IF(UPPER(livegame!P8)="P2","♟",""))))))))))))</f>
        <v/>
      </c>
      <c r="J4" s="16"/>
      <c r="K4" s="17"/>
      <c r="L4" s="17"/>
      <c r="M4" s="17"/>
      <c r="N4" s="17"/>
      <c r="O4" s="17"/>
      <c r="P4" s="17"/>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row>
    <row r="5" spans="1:58" ht="40" customHeight="1">
      <c r="B5" s="27" t="str">
        <f ca="1">IF(UPPER(livegame!I9)="K1","♔",
IF(UPPER(livegame!I9)="Q1","♕",
IF(UPPER(livegame!I9)="R1","♖",
IF(UPPER(livegame!I9)="B1","♗",
IF(UPPER(livegame!I9)="N1","♘",
IF(UPPER(livegame!I9)="P1","♙",
IF(UPPER(livegame!I9)="K2","♚",
IF(UPPER(livegame!I9)="Q2","♛",
IF(UPPER(livegame!I9)="R2","♜",
IF(UPPER(livegame!I9)="B2","♝",
IF(UPPER(livegame!I9)="N2","♞",
IF(UPPER(livegame!I9)="P2","♟",""))))))))))))</f>
        <v/>
      </c>
      <c r="C5" s="25" t="str">
        <f ca="1">IF(UPPER(livegame!J9)="K1","♔",
IF(UPPER(livegame!J9)="Q1","♕",
IF(UPPER(livegame!J9)="R1","♖",
IF(UPPER(livegame!J9)="B1","♗",
IF(UPPER(livegame!J9)="N1","♘",
IF(UPPER(livegame!J9)="P1","♙",
IF(UPPER(livegame!J9)="K2","♚",
IF(UPPER(livegame!J9)="Q2","♛",
IF(UPPER(livegame!J9)="R2","♜",
IF(UPPER(livegame!J9)="B2","♝",
IF(UPPER(livegame!J9)="N2","♞",
IF(UPPER(livegame!J9)="P2","♟",""))))))))))))</f>
        <v/>
      </c>
      <c r="D5" s="24" t="str">
        <f ca="1">IF(UPPER(livegame!K9)="K1","♔",
IF(UPPER(livegame!K9)="Q1","♕",
IF(UPPER(livegame!K9)="R1","♖",
IF(UPPER(livegame!K9)="B1","♗",
IF(UPPER(livegame!K9)="N1","♘",
IF(UPPER(livegame!K9)="P1","♙",
IF(UPPER(livegame!K9)="K2","♚",
IF(UPPER(livegame!K9)="Q2","♛",
IF(UPPER(livegame!K9)="R2","♜",
IF(UPPER(livegame!K9)="B2","♝",
IF(UPPER(livegame!K9)="N2","♞",
IF(UPPER(livegame!K9)="P2","♟",""))))))))))))</f>
        <v/>
      </c>
      <c r="E5" s="25" t="str">
        <f ca="1">IF(UPPER(livegame!L9)="K1","♔",
IF(UPPER(livegame!L9)="Q1","♕",
IF(UPPER(livegame!L9)="R1","♖",
IF(UPPER(livegame!L9)="B1","♗",
IF(UPPER(livegame!L9)="N1","♘",
IF(UPPER(livegame!L9)="P1","♙",
IF(UPPER(livegame!L9)="K2","♚",
IF(UPPER(livegame!L9)="Q2","♛",
IF(UPPER(livegame!L9)="R2","♜",
IF(UPPER(livegame!L9)="B2","♝",
IF(UPPER(livegame!L9)="N2","♞",
IF(UPPER(livegame!L9)="P2","♟",""))))))))))))</f>
        <v/>
      </c>
      <c r="F5" s="24" t="str">
        <f ca="1">IF(UPPER(livegame!M9)="K1","♔",
IF(UPPER(livegame!M9)="Q1","♕",
IF(UPPER(livegame!M9)="R1","♖",
IF(UPPER(livegame!M9)="B1","♗",
IF(UPPER(livegame!M9)="N1","♘",
IF(UPPER(livegame!M9)="P1","♙",
IF(UPPER(livegame!M9)="K2","♚",
IF(UPPER(livegame!M9)="Q2","♛",
IF(UPPER(livegame!M9)="R2","♜",
IF(UPPER(livegame!M9)="B2","♝",
IF(UPPER(livegame!M9)="N2","♞",
IF(UPPER(livegame!M9)="P2","♟",""))))))))))))</f>
        <v/>
      </c>
      <c r="G5" s="25" t="str">
        <f ca="1">IF(UPPER(livegame!N9)="K1","♔",
IF(UPPER(livegame!N9)="Q1","♕",
IF(UPPER(livegame!N9)="R1","♖",
IF(UPPER(livegame!N9)="B1","♗",
IF(UPPER(livegame!N9)="N1","♘",
IF(UPPER(livegame!N9)="P1","♙",
IF(UPPER(livegame!N9)="K2","♚",
IF(UPPER(livegame!N9)="Q2","♛",
IF(UPPER(livegame!N9)="R2","♜",
IF(UPPER(livegame!N9)="B2","♝",
IF(UPPER(livegame!N9)="N2","♞",
IF(UPPER(livegame!N9)="P2","♟",""))))))))))))</f>
        <v/>
      </c>
      <c r="H5" s="24" t="str">
        <f ca="1">IF(UPPER(livegame!O9)="K1","♔",
IF(UPPER(livegame!O9)="Q1","♕",
IF(UPPER(livegame!O9)="R1","♖",
IF(UPPER(livegame!O9)="B1","♗",
IF(UPPER(livegame!O9)="N1","♘",
IF(UPPER(livegame!O9)="P1","♙",
IF(UPPER(livegame!O9)="K2","♚",
IF(UPPER(livegame!O9)="Q2","♛",
IF(UPPER(livegame!O9)="R2","♜",
IF(UPPER(livegame!O9)="B2","♝",
IF(UPPER(livegame!O9)="N2","♞",
IF(UPPER(livegame!O9)="P2","♟",""))))))))))))</f>
        <v/>
      </c>
      <c r="I5" s="28" t="str">
        <f ca="1">IF(UPPER(livegame!P9)="K1","♔",
IF(UPPER(livegame!P9)="Q1","♕",
IF(UPPER(livegame!P9)="R1","♖",
IF(UPPER(livegame!P9)="B1","♗",
IF(UPPER(livegame!P9)="N1","♘",
IF(UPPER(livegame!P9)="P1","♙",
IF(UPPER(livegame!P9)="K2","♚",
IF(UPPER(livegame!P9)="Q2","♛",
IF(UPPER(livegame!P9)="R2","♜",
IF(UPPER(livegame!P9)="B2","♝",
IF(UPPER(livegame!P9)="N2","♞",
IF(UPPER(livegame!P9)="P2","♟",""))))))))))))</f>
        <v/>
      </c>
      <c r="J5" s="16"/>
      <c r="K5" s="17"/>
      <c r="L5" s="17"/>
      <c r="M5" s="17"/>
      <c r="N5" s="17"/>
      <c r="O5" s="17"/>
      <c r="P5" s="17"/>
      <c r="Q5" s="2" t="b">
        <f>K2</f>
        <v>1</v>
      </c>
      <c r="R5" t="s">
        <v>0</v>
      </c>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row>
    <row r="6" spans="1:58" ht="40" customHeight="1">
      <c r="B6" s="23" t="str">
        <f ca="1">IF(UPPER(livegame!I10)="K1","♔",
IF(UPPER(livegame!I10)="Q1","♕",
IF(UPPER(livegame!I10)="R1","♖",
IF(UPPER(livegame!I10)="B1","♗",
IF(UPPER(livegame!I10)="N1","♘",
IF(UPPER(livegame!I10)="P1","♙",
IF(UPPER(livegame!I10)="K2","♚",
IF(UPPER(livegame!I10)="Q2","♛",
IF(UPPER(livegame!I10)="R2","♜",
IF(UPPER(livegame!I10)="B2","♝",
IF(UPPER(livegame!I10)="N2","♞",
IF(UPPER(livegame!I10)="P2","♟",""))))))))))))</f>
        <v/>
      </c>
      <c r="C6" s="24" t="str">
        <f ca="1">IF(UPPER(livegame!J10)="K1","♔",
IF(UPPER(livegame!J10)="Q1","♕",
IF(UPPER(livegame!J10)="R1","♖",
IF(UPPER(livegame!J10)="B1","♗",
IF(UPPER(livegame!J10)="N1","♘",
IF(UPPER(livegame!J10)="P1","♙",
IF(UPPER(livegame!J10)="K2","♚",
IF(UPPER(livegame!J10)="Q2","♛",
IF(UPPER(livegame!J10)="R2","♜",
IF(UPPER(livegame!J10)="B2","♝",
IF(UPPER(livegame!J10)="N2","♞",
IF(UPPER(livegame!J10)="P2","♟",""))))))))))))</f>
        <v/>
      </c>
      <c r="D6" s="25" t="str">
        <f ca="1">IF(UPPER(livegame!K10)="K1","♔",
IF(UPPER(livegame!K10)="Q1","♕",
IF(UPPER(livegame!K10)="R1","♖",
IF(UPPER(livegame!K10)="B1","♗",
IF(UPPER(livegame!K10)="N1","♘",
IF(UPPER(livegame!K10)="P1","♙",
IF(UPPER(livegame!K10)="K2","♚",
IF(UPPER(livegame!K10)="Q2","♛",
IF(UPPER(livegame!K10)="R2","♜",
IF(UPPER(livegame!K10)="B2","♝",
IF(UPPER(livegame!K10)="N2","♞",
IF(UPPER(livegame!K10)="P2","♟",""))))))))))))</f>
        <v/>
      </c>
      <c r="E6" s="24" t="str">
        <f ca="1">IF(UPPER(livegame!L10)="K1","♔",
IF(UPPER(livegame!L10)="Q1","♕",
IF(UPPER(livegame!L10)="R1","♖",
IF(UPPER(livegame!L10)="B1","♗",
IF(UPPER(livegame!L10)="N1","♘",
IF(UPPER(livegame!L10)="P1","♙",
IF(UPPER(livegame!L10)="K2","♚",
IF(UPPER(livegame!L10)="Q2","♛",
IF(UPPER(livegame!L10)="R2","♜",
IF(UPPER(livegame!L10)="B2","♝",
IF(UPPER(livegame!L10)="N2","♞",
IF(UPPER(livegame!L10)="P2","♟",""))))))))))))</f>
        <v/>
      </c>
      <c r="F6" s="25" t="str">
        <f ca="1">IF(UPPER(livegame!M10)="K1","♔",
IF(UPPER(livegame!M10)="Q1","♕",
IF(UPPER(livegame!M10)="R1","♖",
IF(UPPER(livegame!M10)="B1","♗",
IF(UPPER(livegame!M10)="N1","♘",
IF(UPPER(livegame!M10)="P1","♙",
IF(UPPER(livegame!M10)="K2","♚",
IF(UPPER(livegame!M10)="Q2","♛",
IF(UPPER(livegame!M10)="R2","♜",
IF(UPPER(livegame!M10)="B2","♝",
IF(UPPER(livegame!M10)="N2","♞",
IF(UPPER(livegame!M10)="P2","♟",""))))))))))))</f>
        <v/>
      </c>
      <c r="G6" s="24" t="str">
        <f ca="1">IF(UPPER(livegame!N10)="K1","♔",
IF(UPPER(livegame!N10)="Q1","♕",
IF(UPPER(livegame!N10)="R1","♖",
IF(UPPER(livegame!N10)="B1","♗",
IF(UPPER(livegame!N10)="N1","♘",
IF(UPPER(livegame!N10)="P1","♙",
IF(UPPER(livegame!N10)="K2","♚",
IF(UPPER(livegame!N10)="Q2","♛",
IF(UPPER(livegame!N10)="R2","♜",
IF(UPPER(livegame!N10)="B2","♝",
IF(UPPER(livegame!N10)="N2","♞",
IF(UPPER(livegame!N10)="P2","♟",""))))))))))))</f>
        <v/>
      </c>
      <c r="H6" s="25" t="str">
        <f ca="1">IF(UPPER(livegame!O10)="K1","♔",
IF(UPPER(livegame!O10)="Q1","♕",
IF(UPPER(livegame!O10)="R1","♖",
IF(UPPER(livegame!O10)="B1","♗",
IF(UPPER(livegame!O10)="N1","♘",
IF(UPPER(livegame!O10)="P1","♙",
IF(UPPER(livegame!O10)="K2","♚",
IF(UPPER(livegame!O10)="Q2","♛",
IF(UPPER(livegame!O10)="R2","♜",
IF(UPPER(livegame!O10)="B2","♝",
IF(UPPER(livegame!O10)="N2","♞",
IF(UPPER(livegame!O10)="P2","♟",""))))))))))))</f>
        <v/>
      </c>
      <c r="I6" s="26" t="str">
        <f ca="1">IF(UPPER(livegame!P10)="K1","♔",
IF(UPPER(livegame!P10)="Q1","♕",
IF(UPPER(livegame!P10)="R1","♖",
IF(UPPER(livegame!P10)="B1","♗",
IF(UPPER(livegame!P10)="N1","♘",
IF(UPPER(livegame!P10)="P1","♙",
IF(UPPER(livegame!P10)="K2","♚",
IF(UPPER(livegame!P10)="Q2","♛",
IF(UPPER(livegame!P10)="R2","♜",
IF(UPPER(livegame!P10)="B2","♝",
IF(UPPER(livegame!P10)="N2","♞",
IF(UPPER(livegame!P10)="P2","♟",""))))))))))))</f>
        <v/>
      </c>
      <c r="J6" s="16"/>
      <c r="K6" s="17"/>
      <c r="L6" s="17"/>
      <c r="M6" s="17"/>
      <c r="N6" s="17"/>
      <c r="O6" s="17"/>
      <c r="P6" s="17"/>
      <c r="Q6" t="str">
        <f ca="1">livegame!S17</f>
        <v/>
      </c>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row>
    <row r="7" spans="1:58" ht="40" customHeight="1">
      <c r="B7" s="27" t="str">
        <f ca="1">IF(UPPER(livegame!I11)="K1","♔",
IF(UPPER(livegame!I11)="Q1","♕",
IF(UPPER(livegame!I11)="R1","♖",
IF(UPPER(livegame!I11)="B1","♗",
IF(UPPER(livegame!I11)="N1","♘",
IF(UPPER(livegame!I11)="P1","♙",
IF(UPPER(livegame!I11)="K2","♚",
IF(UPPER(livegame!I11)="Q2","♛",
IF(UPPER(livegame!I11)="R2","♜",
IF(UPPER(livegame!I11)="B2","♝",
IF(UPPER(livegame!I11)="N2","♞",
IF(UPPER(livegame!I11)="P2","♟",""))))))))))))</f>
        <v>♟</v>
      </c>
      <c r="C7" s="25" t="str">
        <f ca="1">IF(UPPER(livegame!J11)="K1","♔",
IF(UPPER(livegame!J11)="Q1","♕",
IF(UPPER(livegame!J11)="R1","♖",
IF(UPPER(livegame!J11)="B1","♗",
IF(UPPER(livegame!J11)="N1","♘",
IF(UPPER(livegame!J11)="P1","♙",
IF(UPPER(livegame!J11)="K2","♚",
IF(UPPER(livegame!J11)="Q2","♛",
IF(UPPER(livegame!J11)="R2","♜",
IF(UPPER(livegame!J11)="B2","♝",
IF(UPPER(livegame!J11)="N2","♞",
IF(UPPER(livegame!J11)="P2","♟",""))))))))))))</f>
        <v>♟</v>
      </c>
      <c r="D7" s="24" t="str">
        <f ca="1">IF(UPPER(livegame!K11)="K1","♔",
IF(UPPER(livegame!K11)="Q1","♕",
IF(UPPER(livegame!K11)="R1","♖",
IF(UPPER(livegame!K11)="B1","♗",
IF(UPPER(livegame!K11)="N1","♘",
IF(UPPER(livegame!K11)="P1","♙",
IF(UPPER(livegame!K11)="K2","♚",
IF(UPPER(livegame!K11)="Q2","♛",
IF(UPPER(livegame!K11)="R2","♜",
IF(UPPER(livegame!K11)="B2","♝",
IF(UPPER(livegame!K11)="N2","♞",
IF(UPPER(livegame!K11)="P2","♟",""))))))))))))</f>
        <v>♟</v>
      </c>
      <c r="E7" s="25" t="str">
        <f ca="1">IF(UPPER(livegame!L11)="K1","♔",
IF(UPPER(livegame!L11)="Q1","♕",
IF(UPPER(livegame!L11)="R1","♖",
IF(UPPER(livegame!L11)="B1","♗",
IF(UPPER(livegame!L11)="N1","♘",
IF(UPPER(livegame!L11)="P1","♙",
IF(UPPER(livegame!L11)="K2","♚",
IF(UPPER(livegame!L11)="Q2","♛",
IF(UPPER(livegame!L11)="R2","♜",
IF(UPPER(livegame!L11)="B2","♝",
IF(UPPER(livegame!L11)="N2","♞",
IF(UPPER(livegame!L11)="P2","♟",""))))))))))))</f>
        <v>♟</v>
      </c>
      <c r="F7" s="24" t="str">
        <f ca="1">IF(UPPER(livegame!M11)="K1","♔",
IF(UPPER(livegame!M11)="Q1","♕",
IF(UPPER(livegame!M11)="R1","♖",
IF(UPPER(livegame!M11)="B1","♗",
IF(UPPER(livegame!M11)="N1","♘",
IF(UPPER(livegame!M11)="P1","♙",
IF(UPPER(livegame!M11)="K2","♚",
IF(UPPER(livegame!M11)="Q2","♛",
IF(UPPER(livegame!M11)="R2","♜",
IF(UPPER(livegame!M11)="B2","♝",
IF(UPPER(livegame!M11)="N2","♞",
IF(UPPER(livegame!M11)="P2","♟",""))))))))))))</f>
        <v>♟</v>
      </c>
      <c r="G7" s="25" t="str">
        <f ca="1">IF(UPPER(livegame!N11)="K1","♔",
IF(UPPER(livegame!N11)="Q1","♕",
IF(UPPER(livegame!N11)="R1","♖",
IF(UPPER(livegame!N11)="B1","♗",
IF(UPPER(livegame!N11)="N1","♘",
IF(UPPER(livegame!N11)="P1","♙",
IF(UPPER(livegame!N11)="K2","♚",
IF(UPPER(livegame!N11)="Q2","♛",
IF(UPPER(livegame!N11)="R2","♜",
IF(UPPER(livegame!N11)="B2","♝",
IF(UPPER(livegame!N11)="N2","♞",
IF(UPPER(livegame!N11)="P2","♟",""))))))))))))</f>
        <v>♟</v>
      </c>
      <c r="H7" s="24" t="str">
        <f ca="1">IF(UPPER(livegame!O11)="K1","♔",
IF(UPPER(livegame!O11)="Q1","♕",
IF(UPPER(livegame!O11)="R1","♖",
IF(UPPER(livegame!O11)="B1","♗",
IF(UPPER(livegame!O11)="N1","♘",
IF(UPPER(livegame!O11)="P1","♙",
IF(UPPER(livegame!O11)="K2","♚",
IF(UPPER(livegame!O11)="Q2","♛",
IF(UPPER(livegame!O11)="R2","♜",
IF(UPPER(livegame!O11)="B2","♝",
IF(UPPER(livegame!O11)="N2","♞",
IF(UPPER(livegame!O11)="P2","♟",""))))))))))))</f>
        <v>♟</v>
      </c>
      <c r="I7" s="28" t="str">
        <f ca="1">IF(UPPER(livegame!P11)="K1","♔",
IF(UPPER(livegame!P11)="Q1","♕",
IF(UPPER(livegame!P11)="R1","♖",
IF(UPPER(livegame!P11)="B1","♗",
IF(UPPER(livegame!P11)="N1","♘",
IF(UPPER(livegame!P11)="P1","♙",
IF(UPPER(livegame!P11)="K2","♚",
IF(UPPER(livegame!P11)="Q2","♛",
IF(UPPER(livegame!P11)="R2","♜",
IF(UPPER(livegame!P11)="B2","♝",
IF(UPPER(livegame!P11)="N2","♞",
IF(UPPER(livegame!P11)="P2","♟",""))))))))))))</f>
        <v>♟</v>
      </c>
      <c r="J7" s="16"/>
      <c r="K7" s="17"/>
      <c r="L7" s="17"/>
      <c r="M7" s="17"/>
      <c r="N7" s="17"/>
      <c r="O7" s="17"/>
      <c r="P7" s="17"/>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row>
    <row r="8" spans="1:58" ht="40" customHeight="1" thickBot="1">
      <c r="B8" s="29" t="str">
        <f ca="1">IF(UPPER(livegame!I12)="K1","♔",
IF(UPPER(livegame!I12)="Q1","♕",
IF(UPPER(livegame!I12)="R1","♖",
IF(UPPER(livegame!I12)="B1","♗",
IF(UPPER(livegame!I12)="N1","♘",
IF(UPPER(livegame!I12)="P1","♙",
IF(UPPER(livegame!I12)="K2","♚",
IF(UPPER(livegame!I12)="Q2","♛",
IF(UPPER(livegame!I12)="R2","♜",
IF(UPPER(livegame!I12)="B2","♝",
IF(UPPER(livegame!I12)="N2","♞",
IF(UPPER(livegame!I12)="P2","♟",""))))))))))))</f>
        <v>♜</v>
      </c>
      <c r="C8" s="30" t="str">
        <f ca="1">IF(UPPER(livegame!J12)="K1","♔",
IF(UPPER(livegame!J12)="Q1","♕",
IF(UPPER(livegame!J12)="R1","♖",
IF(UPPER(livegame!J12)="B1","♗",
IF(UPPER(livegame!J12)="N1","♘",
IF(UPPER(livegame!J12)="P1","♙",
IF(UPPER(livegame!J12)="K2","♚",
IF(UPPER(livegame!J12)="Q2","♛",
IF(UPPER(livegame!J12)="R2","♜",
IF(UPPER(livegame!J12)="B2","♝",
IF(UPPER(livegame!J12)="N2","♞",
IF(UPPER(livegame!J12)="P2","♟",""))))))))))))</f>
        <v>♞</v>
      </c>
      <c r="D8" s="31" t="str">
        <f ca="1">IF(UPPER(livegame!K12)="K1","♔",
IF(UPPER(livegame!K12)="Q1","♕",
IF(UPPER(livegame!K12)="R1","♖",
IF(UPPER(livegame!K12)="B1","♗",
IF(UPPER(livegame!K12)="N1","♘",
IF(UPPER(livegame!K12)="P1","♙",
IF(UPPER(livegame!K12)="K2","♚",
IF(UPPER(livegame!K12)="Q2","♛",
IF(UPPER(livegame!K12)="R2","♜",
IF(UPPER(livegame!K12)="B2","♝",
IF(UPPER(livegame!K12)="N2","♞",
IF(UPPER(livegame!K12)="P2","♟",""))))))))))))</f>
        <v>♝</v>
      </c>
      <c r="E8" s="30" t="str">
        <f ca="1">IF(UPPER(livegame!L12)="K1","♔",
IF(UPPER(livegame!L12)="Q1","♕",
IF(UPPER(livegame!L12)="R1","♖",
IF(UPPER(livegame!L12)="B1","♗",
IF(UPPER(livegame!L12)="N1","♘",
IF(UPPER(livegame!L12)="P1","♙",
IF(UPPER(livegame!L12)="K2","♚",
IF(UPPER(livegame!L12)="Q2","♛",
IF(UPPER(livegame!L12)="R2","♜",
IF(UPPER(livegame!L12)="B2","♝",
IF(UPPER(livegame!L12)="N2","♞",
IF(UPPER(livegame!L12)="P2","♟",""))))))))))))</f>
        <v>♚</v>
      </c>
      <c r="F8" s="31" t="str">
        <f ca="1">IF(UPPER(livegame!M12)="K1","♔",
IF(UPPER(livegame!M12)="Q1","♕",
IF(UPPER(livegame!M12)="R1","♖",
IF(UPPER(livegame!M12)="B1","♗",
IF(UPPER(livegame!M12)="N1","♘",
IF(UPPER(livegame!M12)="P1","♙",
IF(UPPER(livegame!M12)="K2","♚",
IF(UPPER(livegame!M12)="Q2","♛",
IF(UPPER(livegame!M12)="R2","♜",
IF(UPPER(livegame!M12)="B2","♝",
IF(UPPER(livegame!M12)="N2","♞",
IF(UPPER(livegame!M12)="P2","♟",""))))))))))))</f>
        <v>♛</v>
      </c>
      <c r="G8" s="30" t="str">
        <f ca="1">IF(UPPER(livegame!N12)="K1","♔",
IF(UPPER(livegame!N12)="Q1","♕",
IF(UPPER(livegame!N12)="R1","♖",
IF(UPPER(livegame!N12)="B1","♗",
IF(UPPER(livegame!N12)="N1","♘",
IF(UPPER(livegame!N12)="P1","♙",
IF(UPPER(livegame!N12)="K2","♚",
IF(UPPER(livegame!N12)="Q2","♛",
IF(UPPER(livegame!N12)="R2","♜",
IF(UPPER(livegame!N12)="B2","♝",
IF(UPPER(livegame!N12)="N2","♞",
IF(UPPER(livegame!N12)="P2","♟",""))))))))))))</f>
        <v>♝</v>
      </c>
      <c r="H8" s="31" t="str">
        <f ca="1">IF(UPPER(livegame!O12)="K1","♔",
IF(UPPER(livegame!O12)="Q1","♕",
IF(UPPER(livegame!O12)="R1","♖",
IF(UPPER(livegame!O12)="B1","♗",
IF(UPPER(livegame!O12)="N1","♘",
IF(UPPER(livegame!O12)="P1","♙",
IF(UPPER(livegame!O12)="K2","♚",
IF(UPPER(livegame!O12)="Q2","♛",
IF(UPPER(livegame!O12)="R2","♜",
IF(UPPER(livegame!O12)="B2","♝",
IF(UPPER(livegame!O12)="N2","♞",
IF(UPPER(livegame!O12)="P2","♟",""))))))))))))</f>
        <v>♞</v>
      </c>
      <c r="I8" s="32" t="str">
        <f ca="1">IF(UPPER(livegame!P12)="K1","♔",
IF(UPPER(livegame!P12)="Q1","♕",
IF(UPPER(livegame!P12)="R1","♖",
IF(UPPER(livegame!P12)="B1","♗",
IF(UPPER(livegame!P12)="N1","♘",
IF(UPPER(livegame!P12)="P1","♙",
IF(UPPER(livegame!P12)="K2","♚",
IF(UPPER(livegame!P12)="Q2","♛",
IF(UPPER(livegame!P12)="R2","♜",
IF(UPPER(livegame!P12)="B2","♝",
IF(UPPER(livegame!P12)="N2","♞",
IF(UPPER(livegame!P12)="P2","♟",""))))))))))))</f>
        <v>♜</v>
      </c>
      <c r="J8" s="16"/>
      <c r="K8" s="17"/>
      <c r="L8" s="17"/>
      <c r="M8" s="17"/>
      <c r="N8" s="17"/>
      <c r="O8" s="17"/>
      <c r="P8" s="17"/>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row>
    <row r="9" spans="1:58">
      <c r="A9" s="16"/>
      <c r="B9" s="16"/>
      <c r="C9" s="16"/>
      <c r="D9" s="16"/>
      <c r="E9" s="16"/>
      <c r="F9" s="16"/>
      <c r="G9" s="16"/>
      <c r="H9" s="16"/>
      <c r="I9" s="16"/>
      <c r="J9" s="16"/>
      <c r="K9" s="17"/>
      <c r="L9" s="17"/>
      <c r="M9" s="17"/>
      <c r="N9" s="17"/>
      <c r="O9" s="17"/>
      <c r="P9" s="17"/>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row>
    <row r="10" spans="1:58">
      <c r="A10" s="16"/>
      <c r="B10" s="16"/>
      <c r="C10" s="16"/>
      <c r="D10" s="16"/>
      <c r="E10" s="16"/>
      <c r="F10" s="16"/>
      <c r="G10" s="16"/>
      <c r="H10" s="16"/>
      <c r="I10" s="16"/>
      <c r="J10" s="16"/>
      <c r="K10" s="17"/>
      <c r="L10" s="17"/>
      <c r="M10" s="17"/>
      <c r="N10" s="17"/>
      <c r="O10" s="17"/>
      <c r="P10" s="17"/>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row>
    <row r="11" spans="1:58">
      <c r="A11" s="16"/>
      <c r="B11" s="16"/>
      <c r="C11" s="16"/>
      <c r="D11" s="16"/>
      <c r="E11" s="16"/>
      <c r="F11" s="16"/>
      <c r="G11" s="16"/>
      <c r="H11" s="16"/>
      <c r="I11" s="16"/>
      <c r="J11" s="16"/>
      <c r="K11" s="17"/>
      <c r="L11" s="17"/>
      <c r="M11" s="17"/>
      <c r="N11" s="17"/>
      <c r="O11" s="17"/>
      <c r="P11" s="17"/>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row>
    <row r="12" spans="1:58">
      <c r="A12" s="16"/>
      <c r="B12" s="16"/>
      <c r="C12" s="16"/>
      <c r="D12" s="16"/>
      <c r="E12" s="16"/>
      <c r="F12" s="16"/>
      <c r="G12" s="16"/>
      <c r="H12" s="16"/>
      <c r="I12" s="16"/>
      <c r="J12" s="16"/>
      <c r="K12" s="17"/>
      <c r="L12" s="17"/>
      <c r="M12" s="17"/>
      <c r="N12" s="17"/>
      <c r="O12" s="17"/>
      <c r="P12" s="17"/>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row>
    <row r="13" spans="1:58">
      <c r="A13" s="16"/>
      <c r="B13" s="16"/>
      <c r="C13" s="16"/>
      <c r="D13" s="16"/>
      <c r="E13" s="16"/>
      <c r="F13" s="16"/>
      <c r="G13" s="16"/>
      <c r="H13" s="16"/>
      <c r="I13" s="16"/>
      <c r="J13" s="16"/>
      <c r="K13" s="17"/>
      <c r="L13" s="17"/>
      <c r="M13" s="17"/>
      <c r="N13" s="17"/>
      <c r="O13" s="17"/>
      <c r="P13" s="17"/>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row>
    <row r="14" spans="1:58">
      <c r="A14" s="16"/>
      <c r="B14" s="16"/>
      <c r="C14" s="16"/>
      <c r="D14" s="16"/>
      <c r="E14" s="16"/>
      <c r="F14" s="16"/>
      <c r="G14" s="16"/>
      <c r="H14" s="16"/>
      <c r="I14" s="16"/>
      <c r="J14" s="16"/>
      <c r="K14" s="17"/>
      <c r="L14" s="17"/>
      <c r="M14" s="17"/>
      <c r="N14" s="17"/>
      <c r="O14" s="17"/>
      <c r="P14" s="17"/>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row>
    <row r="15" spans="1:58">
      <c r="A15" s="16"/>
      <c r="B15" s="16"/>
      <c r="C15" s="16"/>
      <c r="D15" s="16"/>
      <c r="E15" s="16"/>
      <c r="F15" s="16"/>
      <c r="G15" s="16"/>
      <c r="H15" s="16"/>
      <c r="I15" s="16"/>
      <c r="J15" s="16"/>
      <c r="K15" s="17"/>
      <c r="L15" s="17"/>
      <c r="M15" s="17"/>
      <c r="N15" s="17"/>
      <c r="O15" s="17"/>
      <c r="P15" s="17"/>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row>
    <row r="16" spans="1:58">
      <c r="A16" s="16"/>
      <c r="B16" s="16"/>
      <c r="C16" s="16"/>
      <c r="D16" s="16"/>
      <c r="E16" s="16"/>
      <c r="F16" s="16"/>
      <c r="G16" s="16"/>
      <c r="H16" s="16"/>
      <c r="I16" s="16"/>
      <c r="J16" s="16"/>
      <c r="K16" s="17"/>
      <c r="L16" s="17"/>
      <c r="M16" s="17"/>
      <c r="N16" s="17"/>
      <c r="O16" s="17"/>
      <c r="P16" s="17"/>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row>
    <row r="17" spans="1:58">
      <c r="A17" s="16"/>
      <c r="B17" s="16"/>
      <c r="C17" s="16"/>
      <c r="D17" s="16"/>
      <c r="E17" s="16"/>
      <c r="F17" s="16"/>
      <c r="G17" s="16"/>
      <c r="H17" s="16"/>
      <c r="I17" s="16"/>
      <c r="J17" s="16"/>
      <c r="K17" s="16"/>
      <c r="L17" s="16"/>
      <c r="M17" s="16"/>
      <c r="N17" s="16"/>
      <c r="O17" s="16"/>
      <c r="P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row>
    <row r="18" spans="1:58">
      <c r="A18" s="16"/>
      <c r="B18" s="16"/>
      <c r="C18" s="16"/>
      <c r="D18" s="16"/>
      <c r="E18" s="16"/>
      <c r="F18" s="16"/>
      <c r="G18" s="16"/>
      <c r="H18" s="16"/>
      <c r="I18" s="16"/>
      <c r="J18" s="16"/>
      <c r="K18" s="16"/>
      <c r="L18" s="16"/>
      <c r="M18" s="16"/>
      <c r="N18" s="16"/>
      <c r="O18" s="16"/>
      <c r="P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row>
    <row r="19" spans="1:58">
      <c r="A19" s="16"/>
      <c r="B19" s="16"/>
      <c r="C19" s="16"/>
      <c r="D19" s="16"/>
      <c r="E19" s="16"/>
      <c r="F19" s="16"/>
      <c r="G19" s="16"/>
      <c r="H19" s="16"/>
      <c r="I19" s="16"/>
      <c r="J19" s="16"/>
      <c r="K19" s="16"/>
      <c r="L19" s="16"/>
      <c r="M19" s="16"/>
      <c r="N19" s="16"/>
      <c r="O19" s="16"/>
      <c r="P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row>
    <row r="20" spans="1:58">
      <c r="A20" s="16"/>
      <c r="B20" s="16"/>
      <c r="C20" s="16"/>
      <c r="D20" s="16"/>
      <c r="E20" s="16"/>
      <c r="F20" s="16"/>
      <c r="G20" s="16"/>
      <c r="H20" s="16"/>
      <c r="I20" s="16"/>
      <c r="J20" s="16"/>
      <c r="K20" s="16"/>
      <c r="L20" s="16"/>
      <c r="M20" s="16"/>
      <c r="N20" s="16"/>
      <c r="O20" s="16"/>
      <c r="P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row>
    <row r="21" spans="1:58">
      <c r="A21" s="16"/>
      <c r="B21" s="16"/>
      <c r="C21" s="16"/>
      <c r="D21" s="16"/>
      <c r="E21" s="16"/>
      <c r="F21" s="16"/>
      <c r="G21" s="16"/>
      <c r="H21" s="16"/>
      <c r="I21" s="16"/>
      <c r="J21" s="16"/>
      <c r="K21" s="16"/>
      <c r="L21" s="16"/>
      <c r="M21" s="16"/>
      <c r="N21" s="16"/>
      <c r="O21" s="16"/>
      <c r="P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row>
    <row r="22" spans="1:58">
      <c r="A22" s="16"/>
      <c r="B22" s="16"/>
      <c r="C22" s="16"/>
      <c r="D22" s="16"/>
      <c r="E22" s="16"/>
      <c r="F22" s="16"/>
      <c r="G22" s="16"/>
      <c r="H22" s="16"/>
      <c r="I22" s="16"/>
      <c r="J22" s="16"/>
      <c r="K22" s="16"/>
      <c r="L22" s="16"/>
      <c r="M22" s="16"/>
      <c r="N22" s="16"/>
      <c r="O22" s="16"/>
      <c r="P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row>
    <row r="23" spans="1:58">
      <c r="A23" s="16"/>
      <c r="B23" s="16"/>
      <c r="C23" s="16"/>
      <c r="D23" s="16"/>
      <c r="E23" s="16"/>
      <c r="F23" s="16"/>
      <c r="G23" s="16"/>
      <c r="H23" s="16"/>
      <c r="I23" s="16"/>
      <c r="J23" s="16"/>
      <c r="K23" s="16"/>
      <c r="L23" s="16"/>
      <c r="M23" s="16"/>
      <c r="N23" s="16"/>
      <c r="O23" s="16"/>
      <c r="P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row>
    <row r="24" spans="1:58">
      <c r="A24" s="16"/>
      <c r="B24" s="16"/>
      <c r="C24" s="16"/>
      <c r="D24" s="16"/>
      <c r="E24" s="16"/>
      <c r="F24" s="16"/>
      <c r="G24" s="16"/>
      <c r="H24" s="16"/>
      <c r="I24" s="16"/>
      <c r="J24" s="16"/>
      <c r="K24" s="16"/>
      <c r="L24" s="16"/>
      <c r="M24" s="16"/>
      <c r="N24" s="16"/>
      <c r="O24" s="16"/>
      <c r="P24" s="16"/>
    </row>
    <row r="25" spans="1:58">
      <c r="A25" s="16"/>
      <c r="B25" s="16"/>
      <c r="C25" s="16"/>
      <c r="D25" s="16"/>
      <c r="E25" s="16"/>
      <c r="F25" s="16"/>
      <c r="G25" s="16"/>
      <c r="H25" s="16"/>
      <c r="I25" s="16"/>
      <c r="J25" s="16"/>
      <c r="K25" s="16"/>
      <c r="L25" s="16"/>
      <c r="M25" s="16"/>
      <c r="N25" s="16"/>
      <c r="O25" s="16"/>
      <c r="P25" s="16"/>
    </row>
    <row r="26" spans="1:58">
      <c r="A26" s="16"/>
      <c r="B26" s="16"/>
      <c r="C26" s="16"/>
      <c r="D26" s="16"/>
      <c r="E26" s="16"/>
      <c r="F26" s="16"/>
      <c r="G26" s="16"/>
      <c r="H26" s="16"/>
      <c r="I26" s="16"/>
      <c r="J26" s="16"/>
      <c r="K26" s="16"/>
      <c r="L26" s="16"/>
      <c r="M26" s="16"/>
      <c r="N26" s="16"/>
      <c r="O26" s="16"/>
      <c r="P26" s="16"/>
    </row>
    <row r="27" spans="1:58">
      <c r="A27" s="16"/>
      <c r="B27" s="16"/>
      <c r="C27" s="16"/>
      <c r="D27" s="16"/>
      <c r="E27" s="16"/>
      <c r="F27" s="16"/>
      <c r="G27" s="16"/>
      <c r="H27" s="16"/>
      <c r="I27" s="16"/>
      <c r="J27" s="16"/>
      <c r="K27" s="16"/>
      <c r="L27" s="16"/>
      <c r="M27" s="16"/>
      <c r="N27" s="16"/>
      <c r="O27" s="16"/>
      <c r="P27" s="16"/>
    </row>
    <row r="28" spans="1:58">
      <c r="A28" s="16"/>
      <c r="B28" s="16"/>
      <c r="C28" s="16"/>
      <c r="D28" s="16"/>
      <c r="E28" s="16"/>
      <c r="F28" s="16"/>
      <c r="G28" s="16"/>
      <c r="H28" s="16"/>
      <c r="I28" s="16"/>
      <c r="J28" s="16"/>
      <c r="K28" s="16"/>
      <c r="L28" s="16"/>
      <c r="M28" s="16"/>
      <c r="N28" s="16"/>
      <c r="O28" s="16"/>
      <c r="P28" s="16"/>
    </row>
    <row r="29" spans="1:58">
      <c r="A29" s="16"/>
      <c r="B29" s="16"/>
      <c r="C29" s="16"/>
      <c r="D29" s="16"/>
      <c r="E29" s="16"/>
      <c r="F29" s="16"/>
      <c r="G29" s="16"/>
      <c r="H29" s="16"/>
      <c r="I29" s="16"/>
    </row>
    <row r="30" spans="1:58">
      <c r="A30" s="16"/>
      <c r="B30" s="16"/>
      <c r="C30" s="16"/>
      <c r="D30" s="16"/>
      <c r="E30" s="16"/>
      <c r="F30" s="16"/>
      <c r="G30" s="16"/>
      <c r="H30" s="16"/>
      <c r="I30" s="16"/>
    </row>
    <row r="31" spans="1:58">
      <c r="A31" s="16"/>
      <c r="B31" s="16"/>
      <c r="C31" s="16"/>
      <c r="D31" s="16"/>
      <c r="E31" s="16"/>
      <c r="F31" s="16"/>
      <c r="G31" s="16"/>
      <c r="H31" s="16"/>
      <c r="I31" s="16"/>
    </row>
    <row r="32" spans="1:58">
      <c r="A32" s="16"/>
      <c r="B32" s="16"/>
      <c r="C32" s="16"/>
      <c r="D32" s="16"/>
      <c r="E32" s="16"/>
      <c r="F32" s="16"/>
      <c r="G32" s="16"/>
      <c r="H32" s="16"/>
      <c r="I32" s="16"/>
    </row>
    <row r="33" spans="1:9">
      <c r="A33" s="16"/>
      <c r="B33" s="16"/>
      <c r="C33" s="16"/>
      <c r="D33" s="16"/>
      <c r="E33" s="16"/>
      <c r="F33" s="16"/>
      <c r="G33" s="16"/>
      <c r="H33" s="16"/>
      <c r="I33" s="16"/>
    </row>
    <row r="34" spans="1:9">
      <c r="A34" s="16"/>
      <c r="B34" s="16"/>
      <c r="C34" s="16"/>
      <c r="D34" s="16"/>
      <c r="E34" s="16"/>
      <c r="F34" s="16"/>
      <c r="G34" s="16"/>
      <c r="H34" s="16"/>
      <c r="I34" s="16"/>
    </row>
    <row r="35" spans="1:9">
      <c r="A35" s="16"/>
      <c r="B35" s="16"/>
      <c r="C35" s="16"/>
      <c r="D35" s="16"/>
      <c r="E35" s="16"/>
      <c r="F35" s="16"/>
      <c r="G35" s="16"/>
      <c r="H35" s="16"/>
      <c r="I35" s="16"/>
    </row>
    <row r="36" spans="1:9">
      <c r="A36" s="16"/>
      <c r="B36" s="16"/>
      <c r="C36" s="16"/>
      <c r="D36" s="16"/>
      <c r="E36" s="16"/>
      <c r="F36" s="16"/>
      <c r="G36" s="16"/>
      <c r="H36" s="16"/>
      <c r="I36" s="16"/>
    </row>
    <row r="37" spans="1:9">
      <c r="A37" s="16"/>
      <c r="B37" s="16"/>
      <c r="C37" s="16"/>
      <c r="D37" s="16"/>
      <c r="E37" s="16"/>
      <c r="F37" s="16"/>
      <c r="G37" s="16"/>
      <c r="H37" s="16"/>
      <c r="I37" s="16"/>
    </row>
    <row r="38" spans="1:9">
      <c r="A38" s="16"/>
      <c r="B38" s="16"/>
      <c r="C38" s="16"/>
      <c r="D38" s="16"/>
      <c r="E38" s="16"/>
      <c r="F38" s="16"/>
      <c r="G38" s="16"/>
      <c r="H38" s="16"/>
      <c r="I38" s="16"/>
    </row>
    <row r="39" spans="1:9">
      <c r="A39" s="16"/>
      <c r="B39" s="16"/>
      <c r="C39" s="16"/>
      <c r="D39" s="16"/>
      <c r="E39" s="16"/>
      <c r="F39" s="16"/>
      <c r="G39" s="16"/>
      <c r="H39" s="16"/>
      <c r="I39" s="16"/>
    </row>
    <row r="40" spans="1:9">
      <c r="A40" s="16"/>
      <c r="B40" s="16"/>
      <c r="C40" s="16"/>
      <c r="D40" s="16"/>
      <c r="E40" s="16"/>
      <c r="F40" s="16"/>
      <c r="G40" s="16"/>
      <c r="H40" s="16"/>
      <c r="I40" s="16"/>
    </row>
    <row r="41" spans="1:9">
      <c r="A41" s="16"/>
      <c r="B41" s="16"/>
      <c r="C41" s="16"/>
      <c r="D41" s="16"/>
      <c r="E41" s="16"/>
      <c r="F41" s="16"/>
      <c r="G41" s="16"/>
      <c r="H41" s="16"/>
      <c r="I41" s="16"/>
    </row>
    <row r="42" spans="1:9">
      <c r="A42" s="16"/>
      <c r="B42" s="16"/>
      <c r="C42" s="16"/>
      <c r="D42" s="16"/>
      <c r="E42" s="16"/>
      <c r="F42" s="16"/>
      <c r="G42" s="16"/>
      <c r="H42" s="16"/>
      <c r="I42" s="16"/>
    </row>
    <row r="43" spans="1:9">
      <c r="A43" s="16"/>
      <c r="B43" s="16"/>
      <c r="C43" s="16"/>
      <c r="D43" s="16"/>
      <c r="E43" s="16"/>
      <c r="F43" s="16"/>
      <c r="G43" s="16"/>
      <c r="H43" s="16"/>
      <c r="I43" s="16"/>
    </row>
    <row r="44" spans="1:9">
      <c r="A44" s="16"/>
      <c r="B44" s="16"/>
      <c r="C44" s="16"/>
      <c r="D44" s="16"/>
      <c r="E44" s="16"/>
      <c r="F44" s="16"/>
      <c r="G44" s="16"/>
      <c r="H44" s="16"/>
      <c r="I44" s="16"/>
    </row>
    <row r="45" spans="1:9">
      <c r="A45" s="16"/>
      <c r="B45" s="16"/>
      <c r="C45" s="16"/>
      <c r="D45" s="16"/>
      <c r="E45" s="16"/>
      <c r="F45" s="16"/>
      <c r="G45" s="16"/>
      <c r="H45" s="16"/>
      <c r="I45" s="16"/>
    </row>
    <row r="46" spans="1:9">
      <c r="A46" s="16"/>
      <c r="B46" s="16"/>
      <c r="C46" s="16"/>
      <c r="D46" s="16"/>
      <c r="E46" s="16"/>
      <c r="F46" s="16"/>
      <c r="G46" s="16"/>
      <c r="H46" s="16"/>
      <c r="I46" s="16"/>
    </row>
    <row r="47" spans="1:9">
      <c r="A47" s="16"/>
      <c r="B47" s="16"/>
      <c r="C47" s="16"/>
      <c r="D47" s="16"/>
      <c r="E47" s="16"/>
      <c r="F47" s="16"/>
      <c r="G47" s="16"/>
      <c r="H47" s="16"/>
      <c r="I47" s="16"/>
    </row>
    <row r="48" spans="1:9">
      <c r="A48" s="16"/>
      <c r="B48" s="16"/>
      <c r="C48" s="16"/>
      <c r="D48" s="16"/>
      <c r="E48" s="16"/>
      <c r="F48" s="16"/>
      <c r="G48" s="16"/>
      <c r="H48" s="16"/>
      <c r="I48" s="16"/>
    </row>
    <row r="49" spans="1:9">
      <c r="A49" s="16"/>
      <c r="B49" s="16"/>
      <c r="C49" s="16"/>
      <c r="D49" s="16"/>
      <c r="E49" s="16"/>
      <c r="F49" s="16"/>
      <c r="G49" s="16"/>
      <c r="H49" s="16"/>
      <c r="I49" s="16"/>
    </row>
    <row r="50" spans="1:9">
      <c r="A50" s="16"/>
      <c r="B50" s="16"/>
      <c r="C50" s="16"/>
      <c r="D50" s="16"/>
      <c r="E50" s="16"/>
      <c r="F50" s="16"/>
      <c r="G50" s="16"/>
      <c r="H50" s="16"/>
      <c r="I50" s="16"/>
    </row>
    <row r="51" spans="1:9">
      <c r="A51" s="16"/>
      <c r="B51" s="16"/>
      <c r="C51" s="16"/>
      <c r="D51" s="16"/>
      <c r="E51" s="16"/>
      <c r="F51" s="16"/>
      <c r="G51" s="16"/>
      <c r="H51" s="16"/>
      <c r="I51" s="16"/>
    </row>
    <row r="52" spans="1:9">
      <c r="A52" s="16"/>
      <c r="B52" s="16"/>
      <c r="C52" s="16"/>
      <c r="D52" s="16"/>
      <c r="E52" s="16"/>
      <c r="F52" s="16"/>
      <c r="G52" s="16"/>
      <c r="H52" s="16"/>
      <c r="I52" s="16"/>
    </row>
    <row r="53" spans="1:9">
      <c r="A53" s="16"/>
      <c r="B53" s="16"/>
      <c r="C53" s="16"/>
      <c r="D53" s="16"/>
      <c r="E53" s="16"/>
      <c r="F53" s="16"/>
      <c r="G53" s="16"/>
      <c r="H53" s="16"/>
      <c r="I53" s="16"/>
    </row>
    <row r="54" spans="1:9">
      <c r="A54" s="16"/>
      <c r="B54" s="16"/>
      <c r="C54" s="16"/>
      <c r="D54" s="16"/>
      <c r="E54" s="16"/>
      <c r="F54" s="16"/>
      <c r="G54" s="16"/>
      <c r="H54" s="16"/>
      <c r="I54" s="16"/>
    </row>
    <row r="55" spans="1:9">
      <c r="A55" s="16"/>
      <c r="B55" s="16"/>
      <c r="C55" s="16"/>
      <c r="D55" s="16"/>
      <c r="E55" s="16"/>
      <c r="F55" s="16"/>
      <c r="G55" s="16"/>
      <c r="H55" s="16"/>
      <c r="I55" s="16"/>
    </row>
    <row r="56" spans="1:9">
      <c r="A56" s="16"/>
      <c r="B56" s="16"/>
      <c r="C56" s="16"/>
      <c r="D56" s="16"/>
      <c r="E56" s="16"/>
      <c r="F56" s="16"/>
      <c r="G56" s="16"/>
      <c r="H56" s="16"/>
      <c r="I56" s="16"/>
    </row>
  </sheetData>
  <mergeCells count="8">
    <mergeCell ref="V1:BF23"/>
    <mergeCell ref="J17:P28"/>
    <mergeCell ref="J1:J16"/>
    <mergeCell ref="A9:I56"/>
    <mergeCell ref="K3:P16"/>
    <mergeCell ref="U3:U16"/>
    <mergeCell ref="K1:U1"/>
    <mergeCell ref="L2:O2"/>
  </mergeCells>
  <conditionalFormatting sqref="K2">
    <cfRule type="containsText" dxfId="22" priority="3" stopIfTrue="1" operator="containsText" text="FALSE">
      <formula>NOT(ISERROR(SEARCH("FALSE",K2)))</formula>
    </cfRule>
    <cfRule type="containsText" dxfId="21" priority="4" stopIfTrue="1" operator="containsText" text="TRUE">
      <formula>NOT(ISERROR(SEARCH("TRUE",K2)))</formula>
    </cfRule>
  </conditionalFormatting>
  <conditionalFormatting sqref="K1:U1">
    <cfRule type="notContainsBlanks" dxfId="20" priority="2">
      <formula>LEN(TRIM(K1))&gt;0</formula>
    </cfRule>
  </conditionalFormatting>
  <pageMargins left="0.7" right="0.7" top="0.75" bottom="0.75" header="0.3" footer="0.3"/>
  <pageSetup orientation="portrait" horizontalDpi="0" verticalDpi="0"/>
  <drawing r:id="rId1"/>
  <legacyDrawing r:id="rId2"/>
  <mc:AlternateContent xmlns:mc="http://schemas.openxmlformats.org/markup-compatibility/2006">
    <mc:Choice Requires="x14">
      <controls>
        <mc:AlternateContent xmlns:mc="http://schemas.openxmlformats.org/markup-compatibility/2006">
          <mc:Choice Requires="x14">
            <control shapeId="1047" r:id="rId3" name="BoxH1">
              <controlPr defaultSize="0" autoFill="0" autoLine="0" autoPict="0">
                <anchor moveWithCells="1">
                  <from>
                    <xdr:col>0</xdr:col>
                    <xdr:colOff>2171700</xdr:colOff>
                    <xdr:row>2</xdr:row>
                    <xdr:rowOff>0</xdr:rowOff>
                  </from>
                  <to>
                    <xdr:col>9</xdr:col>
                    <xdr:colOff>0</xdr:colOff>
                    <xdr:row>3</xdr:row>
                    <xdr:rowOff>12700</xdr:rowOff>
                  </to>
                </anchor>
              </controlPr>
            </control>
          </mc:Choice>
        </mc:AlternateContent>
        <mc:AlternateContent xmlns:mc="http://schemas.openxmlformats.org/markup-compatibility/2006">
          <mc:Choice Requires="x14">
            <control shapeId="1048" r:id="rId4" name="BoxG1">
              <controlPr defaultSize="0" autoFill="0" autoLine="0" autoPict="0">
                <anchor moveWithCells="1">
                  <from>
                    <xdr:col>0</xdr:col>
                    <xdr:colOff>2171700</xdr:colOff>
                    <xdr:row>2</xdr:row>
                    <xdr:rowOff>0</xdr:rowOff>
                  </from>
                  <to>
                    <xdr:col>8</xdr:col>
                    <xdr:colOff>0</xdr:colOff>
                    <xdr:row>3</xdr:row>
                    <xdr:rowOff>0</xdr:rowOff>
                  </to>
                </anchor>
              </controlPr>
            </control>
          </mc:Choice>
        </mc:AlternateContent>
        <mc:AlternateContent xmlns:mc="http://schemas.openxmlformats.org/markup-compatibility/2006">
          <mc:Choice Requires="x14">
            <control shapeId="1049" r:id="rId5" name="BoxF1">
              <controlPr defaultSize="0" autoFill="0" autoLine="0" autoPict="0">
                <anchor moveWithCells="1">
                  <from>
                    <xdr:col>0</xdr:col>
                    <xdr:colOff>2171700</xdr:colOff>
                    <xdr:row>2</xdr:row>
                    <xdr:rowOff>0</xdr:rowOff>
                  </from>
                  <to>
                    <xdr:col>6</xdr:col>
                    <xdr:colOff>508000</xdr:colOff>
                    <xdr:row>3</xdr:row>
                    <xdr:rowOff>0</xdr:rowOff>
                  </to>
                </anchor>
              </controlPr>
            </control>
          </mc:Choice>
        </mc:AlternateContent>
        <mc:AlternateContent xmlns:mc="http://schemas.openxmlformats.org/markup-compatibility/2006">
          <mc:Choice Requires="x14">
            <control shapeId="1050" r:id="rId6" name="BoxE1">
              <controlPr defaultSize="0" autoFill="0" autoLine="0" autoPict="0">
                <anchor moveWithCells="1">
                  <from>
                    <xdr:col>0</xdr:col>
                    <xdr:colOff>2171700</xdr:colOff>
                    <xdr:row>2</xdr:row>
                    <xdr:rowOff>0</xdr:rowOff>
                  </from>
                  <to>
                    <xdr:col>6</xdr:col>
                    <xdr:colOff>0</xdr:colOff>
                    <xdr:row>3</xdr:row>
                    <xdr:rowOff>0</xdr:rowOff>
                  </to>
                </anchor>
              </controlPr>
            </control>
          </mc:Choice>
        </mc:AlternateContent>
        <mc:AlternateContent xmlns:mc="http://schemas.openxmlformats.org/markup-compatibility/2006">
          <mc:Choice Requires="x14">
            <control shapeId="1051" r:id="rId7" name="BoxD1">
              <controlPr defaultSize="0" autoFill="0" autoLine="0" autoPict="0">
                <anchor moveWithCells="1">
                  <from>
                    <xdr:col>0</xdr:col>
                    <xdr:colOff>2171700</xdr:colOff>
                    <xdr:row>2</xdr:row>
                    <xdr:rowOff>0</xdr:rowOff>
                  </from>
                  <to>
                    <xdr:col>5</xdr:col>
                    <xdr:colOff>0</xdr:colOff>
                    <xdr:row>3</xdr:row>
                    <xdr:rowOff>0</xdr:rowOff>
                  </to>
                </anchor>
              </controlPr>
            </control>
          </mc:Choice>
        </mc:AlternateContent>
        <mc:AlternateContent xmlns:mc="http://schemas.openxmlformats.org/markup-compatibility/2006">
          <mc:Choice Requires="x14">
            <control shapeId="1052" r:id="rId8" name="BoxC1">
              <controlPr defaultSize="0" autoFill="0" autoLine="0" autoPict="0">
                <anchor moveWithCells="1">
                  <from>
                    <xdr:col>0</xdr:col>
                    <xdr:colOff>2171700</xdr:colOff>
                    <xdr:row>2</xdr:row>
                    <xdr:rowOff>0</xdr:rowOff>
                  </from>
                  <to>
                    <xdr:col>4</xdr:col>
                    <xdr:colOff>0</xdr:colOff>
                    <xdr:row>3</xdr:row>
                    <xdr:rowOff>0</xdr:rowOff>
                  </to>
                </anchor>
              </controlPr>
            </control>
          </mc:Choice>
        </mc:AlternateContent>
        <mc:AlternateContent xmlns:mc="http://schemas.openxmlformats.org/markup-compatibility/2006">
          <mc:Choice Requires="x14">
            <control shapeId="1053" r:id="rId9" name="BoxB1">
              <controlPr defaultSize="0" autoFill="0" autoLine="0" autoPict="0">
                <anchor moveWithCells="1">
                  <from>
                    <xdr:col>0</xdr:col>
                    <xdr:colOff>2171700</xdr:colOff>
                    <xdr:row>2</xdr:row>
                    <xdr:rowOff>0</xdr:rowOff>
                  </from>
                  <to>
                    <xdr:col>3</xdr:col>
                    <xdr:colOff>0</xdr:colOff>
                    <xdr:row>3</xdr:row>
                    <xdr:rowOff>0</xdr:rowOff>
                  </to>
                </anchor>
              </controlPr>
            </control>
          </mc:Choice>
        </mc:AlternateContent>
        <mc:AlternateContent xmlns:mc="http://schemas.openxmlformats.org/markup-compatibility/2006">
          <mc:Choice Requires="x14">
            <control shapeId="1054" r:id="rId10" name="BoxA1">
              <controlPr defaultSize="0" autoFill="0" autoLine="0" autoPict="0">
                <anchor moveWithCells="1">
                  <from>
                    <xdr:col>0</xdr:col>
                    <xdr:colOff>2171700</xdr:colOff>
                    <xdr:row>2</xdr:row>
                    <xdr:rowOff>0</xdr:rowOff>
                  </from>
                  <to>
                    <xdr:col>2</xdr:col>
                    <xdr:colOff>0</xdr:colOff>
                    <xdr:row>3</xdr:row>
                    <xdr:rowOff>0</xdr:rowOff>
                  </to>
                </anchor>
              </controlPr>
            </control>
          </mc:Choice>
        </mc:AlternateContent>
        <mc:AlternateContent xmlns:mc="http://schemas.openxmlformats.org/markup-compatibility/2006">
          <mc:Choice Requires="x14">
            <control shapeId="1087" r:id="rId11" name="Check Box 63">
              <controlPr defaultSize="0" autoFill="0" autoLine="0" autoPict="0">
                <anchor moveWithCells="1">
                  <from>
                    <xdr:col>0</xdr:col>
                    <xdr:colOff>2184400</xdr:colOff>
                    <xdr:row>2</xdr:row>
                    <xdr:rowOff>508000</xdr:rowOff>
                  </from>
                  <to>
                    <xdr:col>9</xdr:col>
                    <xdr:colOff>12700</xdr:colOff>
                    <xdr:row>4</xdr:row>
                    <xdr:rowOff>0</xdr:rowOff>
                  </to>
                </anchor>
              </controlPr>
            </control>
          </mc:Choice>
        </mc:AlternateContent>
        <mc:AlternateContent xmlns:mc="http://schemas.openxmlformats.org/markup-compatibility/2006">
          <mc:Choice Requires="x14">
            <control shapeId="1088" r:id="rId12" name="Check Box 64">
              <controlPr defaultSize="0" autoFill="0" autoLine="0" autoPict="0">
                <anchor moveWithCells="1">
                  <from>
                    <xdr:col>0</xdr:col>
                    <xdr:colOff>2184400</xdr:colOff>
                    <xdr:row>2</xdr:row>
                    <xdr:rowOff>508000</xdr:rowOff>
                  </from>
                  <to>
                    <xdr:col>8</xdr:col>
                    <xdr:colOff>12700</xdr:colOff>
                    <xdr:row>3</xdr:row>
                    <xdr:rowOff>508000</xdr:rowOff>
                  </to>
                </anchor>
              </controlPr>
            </control>
          </mc:Choice>
        </mc:AlternateContent>
        <mc:AlternateContent xmlns:mc="http://schemas.openxmlformats.org/markup-compatibility/2006">
          <mc:Choice Requires="x14">
            <control shapeId="1089" r:id="rId13" name="Check Box 65">
              <controlPr defaultSize="0" autoFill="0" autoLine="0" autoPict="0">
                <anchor moveWithCells="1">
                  <from>
                    <xdr:col>0</xdr:col>
                    <xdr:colOff>2184400</xdr:colOff>
                    <xdr:row>2</xdr:row>
                    <xdr:rowOff>508000</xdr:rowOff>
                  </from>
                  <to>
                    <xdr:col>7</xdr:col>
                    <xdr:colOff>0</xdr:colOff>
                    <xdr:row>3</xdr:row>
                    <xdr:rowOff>508000</xdr:rowOff>
                  </to>
                </anchor>
              </controlPr>
            </control>
          </mc:Choice>
        </mc:AlternateContent>
        <mc:AlternateContent xmlns:mc="http://schemas.openxmlformats.org/markup-compatibility/2006">
          <mc:Choice Requires="x14">
            <control shapeId="1090" r:id="rId14" name="Check Box 66">
              <controlPr defaultSize="0" autoFill="0" autoLine="0" autoPict="0">
                <anchor moveWithCells="1">
                  <from>
                    <xdr:col>0</xdr:col>
                    <xdr:colOff>2184400</xdr:colOff>
                    <xdr:row>2</xdr:row>
                    <xdr:rowOff>508000</xdr:rowOff>
                  </from>
                  <to>
                    <xdr:col>6</xdr:col>
                    <xdr:colOff>12700</xdr:colOff>
                    <xdr:row>3</xdr:row>
                    <xdr:rowOff>508000</xdr:rowOff>
                  </to>
                </anchor>
              </controlPr>
            </control>
          </mc:Choice>
        </mc:AlternateContent>
        <mc:AlternateContent xmlns:mc="http://schemas.openxmlformats.org/markup-compatibility/2006">
          <mc:Choice Requires="x14">
            <control shapeId="1091" r:id="rId15" name="Check Box 67">
              <controlPr defaultSize="0" autoFill="0" autoLine="0" autoPict="0">
                <anchor moveWithCells="1">
                  <from>
                    <xdr:col>0</xdr:col>
                    <xdr:colOff>2184400</xdr:colOff>
                    <xdr:row>2</xdr:row>
                    <xdr:rowOff>508000</xdr:rowOff>
                  </from>
                  <to>
                    <xdr:col>5</xdr:col>
                    <xdr:colOff>12700</xdr:colOff>
                    <xdr:row>3</xdr:row>
                    <xdr:rowOff>508000</xdr:rowOff>
                  </to>
                </anchor>
              </controlPr>
            </control>
          </mc:Choice>
        </mc:AlternateContent>
        <mc:AlternateContent xmlns:mc="http://schemas.openxmlformats.org/markup-compatibility/2006">
          <mc:Choice Requires="x14">
            <control shapeId="1092" r:id="rId16" name="Check Box 68">
              <controlPr defaultSize="0" autoFill="0" autoLine="0" autoPict="0">
                <anchor moveWithCells="1">
                  <from>
                    <xdr:col>0</xdr:col>
                    <xdr:colOff>2184400</xdr:colOff>
                    <xdr:row>2</xdr:row>
                    <xdr:rowOff>508000</xdr:rowOff>
                  </from>
                  <to>
                    <xdr:col>4</xdr:col>
                    <xdr:colOff>12700</xdr:colOff>
                    <xdr:row>3</xdr:row>
                    <xdr:rowOff>508000</xdr:rowOff>
                  </to>
                </anchor>
              </controlPr>
            </control>
          </mc:Choice>
        </mc:AlternateContent>
        <mc:AlternateContent xmlns:mc="http://schemas.openxmlformats.org/markup-compatibility/2006">
          <mc:Choice Requires="x14">
            <control shapeId="1093" r:id="rId17" name="Check Box 69">
              <controlPr defaultSize="0" autoFill="0" autoLine="0" autoPict="0">
                <anchor moveWithCells="1">
                  <from>
                    <xdr:col>0</xdr:col>
                    <xdr:colOff>2184400</xdr:colOff>
                    <xdr:row>2</xdr:row>
                    <xdr:rowOff>508000</xdr:rowOff>
                  </from>
                  <to>
                    <xdr:col>3</xdr:col>
                    <xdr:colOff>12700</xdr:colOff>
                    <xdr:row>3</xdr:row>
                    <xdr:rowOff>508000</xdr:rowOff>
                  </to>
                </anchor>
              </controlPr>
            </control>
          </mc:Choice>
        </mc:AlternateContent>
        <mc:AlternateContent xmlns:mc="http://schemas.openxmlformats.org/markup-compatibility/2006">
          <mc:Choice Requires="x14">
            <control shapeId="1094" r:id="rId18" name="Check Box 70">
              <controlPr defaultSize="0" autoFill="0" autoLine="0" autoPict="0">
                <anchor moveWithCells="1">
                  <from>
                    <xdr:col>0</xdr:col>
                    <xdr:colOff>2184400</xdr:colOff>
                    <xdr:row>2</xdr:row>
                    <xdr:rowOff>508000</xdr:rowOff>
                  </from>
                  <to>
                    <xdr:col>2</xdr:col>
                    <xdr:colOff>12700</xdr:colOff>
                    <xdr:row>3</xdr:row>
                    <xdr:rowOff>508000</xdr:rowOff>
                  </to>
                </anchor>
              </controlPr>
            </control>
          </mc:Choice>
        </mc:AlternateContent>
        <mc:AlternateContent xmlns:mc="http://schemas.openxmlformats.org/markup-compatibility/2006">
          <mc:Choice Requires="x14">
            <control shapeId="1159" r:id="rId19" name="Check Box 135">
              <controlPr defaultSize="0" autoFill="0" autoLine="0" autoPict="0">
                <anchor moveWithCells="1">
                  <from>
                    <xdr:col>0</xdr:col>
                    <xdr:colOff>2171700</xdr:colOff>
                    <xdr:row>3</xdr:row>
                    <xdr:rowOff>508000</xdr:rowOff>
                  </from>
                  <to>
                    <xdr:col>9</xdr:col>
                    <xdr:colOff>0</xdr:colOff>
                    <xdr:row>4</xdr:row>
                    <xdr:rowOff>508000</xdr:rowOff>
                  </to>
                </anchor>
              </controlPr>
            </control>
          </mc:Choice>
        </mc:AlternateContent>
        <mc:AlternateContent xmlns:mc="http://schemas.openxmlformats.org/markup-compatibility/2006">
          <mc:Choice Requires="x14">
            <control shapeId="1160" r:id="rId20" name="Check Box 136">
              <controlPr defaultSize="0" autoFill="0" autoLine="0" autoPict="0">
                <anchor moveWithCells="1">
                  <from>
                    <xdr:col>0</xdr:col>
                    <xdr:colOff>2171700</xdr:colOff>
                    <xdr:row>3</xdr:row>
                    <xdr:rowOff>508000</xdr:rowOff>
                  </from>
                  <to>
                    <xdr:col>8</xdr:col>
                    <xdr:colOff>0</xdr:colOff>
                    <xdr:row>4</xdr:row>
                    <xdr:rowOff>508000</xdr:rowOff>
                  </to>
                </anchor>
              </controlPr>
            </control>
          </mc:Choice>
        </mc:AlternateContent>
        <mc:AlternateContent xmlns:mc="http://schemas.openxmlformats.org/markup-compatibility/2006">
          <mc:Choice Requires="x14">
            <control shapeId="1161" r:id="rId21" name="Check Box 137">
              <controlPr defaultSize="0" autoFill="0" autoLine="0" autoPict="0">
                <anchor moveWithCells="1">
                  <from>
                    <xdr:col>0</xdr:col>
                    <xdr:colOff>2171700</xdr:colOff>
                    <xdr:row>3</xdr:row>
                    <xdr:rowOff>508000</xdr:rowOff>
                  </from>
                  <to>
                    <xdr:col>6</xdr:col>
                    <xdr:colOff>508000</xdr:colOff>
                    <xdr:row>4</xdr:row>
                    <xdr:rowOff>508000</xdr:rowOff>
                  </to>
                </anchor>
              </controlPr>
            </control>
          </mc:Choice>
        </mc:AlternateContent>
        <mc:AlternateContent xmlns:mc="http://schemas.openxmlformats.org/markup-compatibility/2006">
          <mc:Choice Requires="x14">
            <control shapeId="1162" r:id="rId22" name="Check Box 138">
              <controlPr defaultSize="0" autoFill="0" autoLine="0" autoPict="0">
                <anchor moveWithCells="1">
                  <from>
                    <xdr:col>0</xdr:col>
                    <xdr:colOff>2171700</xdr:colOff>
                    <xdr:row>3</xdr:row>
                    <xdr:rowOff>508000</xdr:rowOff>
                  </from>
                  <to>
                    <xdr:col>6</xdr:col>
                    <xdr:colOff>0</xdr:colOff>
                    <xdr:row>4</xdr:row>
                    <xdr:rowOff>508000</xdr:rowOff>
                  </to>
                </anchor>
              </controlPr>
            </control>
          </mc:Choice>
        </mc:AlternateContent>
        <mc:AlternateContent xmlns:mc="http://schemas.openxmlformats.org/markup-compatibility/2006">
          <mc:Choice Requires="x14">
            <control shapeId="1163" r:id="rId23" name="Check Box 139">
              <controlPr defaultSize="0" autoFill="0" autoLine="0" autoPict="0">
                <anchor moveWithCells="1">
                  <from>
                    <xdr:col>0</xdr:col>
                    <xdr:colOff>2171700</xdr:colOff>
                    <xdr:row>3</xdr:row>
                    <xdr:rowOff>508000</xdr:rowOff>
                  </from>
                  <to>
                    <xdr:col>5</xdr:col>
                    <xdr:colOff>0</xdr:colOff>
                    <xdr:row>4</xdr:row>
                    <xdr:rowOff>508000</xdr:rowOff>
                  </to>
                </anchor>
              </controlPr>
            </control>
          </mc:Choice>
        </mc:AlternateContent>
        <mc:AlternateContent xmlns:mc="http://schemas.openxmlformats.org/markup-compatibility/2006">
          <mc:Choice Requires="x14">
            <control shapeId="1164" r:id="rId24" name="Check Box 140">
              <controlPr defaultSize="0" autoFill="0" autoLine="0" autoPict="0">
                <anchor moveWithCells="1">
                  <from>
                    <xdr:col>0</xdr:col>
                    <xdr:colOff>2171700</xdr:colOff>
                    <xdr:row>3</xdr:row>
                    <xdr:rowOff>508000</xdr:rowOff>
                  </from>
                  <to>
                    <xdr:col>4</xdr:col>
                    <xdr:colOff>0</xdr:colOff>
                    <xdr:row>4</xdr:row>
                    <xdr:rowOff>508000</xdr:rowOff>
                  </to>
                </anchor>
              </controlPr>
            </control>
          </mc:Choice>
        </mc:AlternateContent>
        <mc:AlternateContent xmlns:mc="http://schemas.openxmlformats.org/markup-compatibility/2006">
          <mc:Choice Requires="x14">
            <control shapeId="1165" r:id="rId25" name="Check Box 141">
              <controlPr defaultSize="0" autoFill="0" autoLine="0" autoPict="0">
                <anchor moveWithCells="1">
                  <from>
                    <xdr:col>0</xdr:col>
                    <xdr:colOff>2171700</xdr:colOff>
                    <xdr:row>3</xdr:row>
                    <xdr:rowOff>508000</xdr:rowOff>
                  </from>
                  <to>
                    <xdr:col>3</xdr:col>
                    <xdr:colOff>0</xdr:colOff>
                    <xdr:row>4</xdr:row>
                    <xdr:rowOff>508000</xdr:rowOff>
                  </to>
                </anchor>
              </controlPr>
            </control>
          </mc:Choice>
        </mc:AlternateContent>
        <mc:AlternateContent xmlns:mc="http://schemas.openxmlformats.org/markup-compatibility/2006">
          <mc:Choice Requires="x14">
            <control shapeId="1166" r:id="rId26" name="Check Box 142">
              <controlPr defaultSize="0" autoFill="0" autoLine="0" autoPict="0">
                <anchor moveWithCells="1">
                  <from>
                    <xdr:col>0</xdr:col>
                    <xdr:colOff>2171700</xdr:colOff>
                    <xdr:row>3</xdr:row>
                    <xdr:rowOff>508000</xdr:rowOff>
                  </from>
                  <to>
                    <xdr:col>2</xdr:col>
                    <xdr:colOff>0</xdr:colOff>
                    <xdr:row>4</xdr:row>
                    <xdr:rowOff>508000</xdr:rowOff>
                  </to>
                </anchor>
              </controlPr>
            </control>
          </mc:Choice>
        </mc:AlternateContent>
        <mc:AlternateContent xmlns:mc="http://schemas.openxmlformats.org/markup-compatibility/2006">
          <mc:Choice Requires="x14">
            <control shapeId="1167" r:id="rId27" name="Check Box 143">
              <controlPr defaultSize="0" autoFill="0" autoLine="0" autoPict="0">
                <anchor moveWithCells="1">
                  <from>
                    <xdr:col>0</xdr:col>
                    <xdr:colOff>2171700</xdr:colOff>
                    <xdr:row>5</xdr:row>
                    <xdr:rowOff>12700</xdr:rowOff>
                  </from>
                  <to>
                    <xdr:col>9</xdr:col>
                    <xdr:colOff>0</xdr:colOff>
                    <xdr:row>6</xdr:row>
                    <xdr:rowOff>12700</xdr:rowOff>
                  </to>
                </anchor>
              </controlPr>
            </control>
          </mc:Choice>
        </mc:AlternateContent>
        <mc:AlternateContent xmlns:mc="http://schemas.openxmlformats.org/markup-compatibility/2006">
          <mc:Choice Requires="x14">
            <control shapeId="1168" r:id="rId28" name="Check Box 144">
              <controlPr defaultSize="0" autoFill="0" autoLine="0" autoPict="0">
                <anchor moveWithCells="1">
                  <from>
                    <xdr:col>0</xdr:col>
                    <xdr:colOff>2171700</xdr:colOff>
                    <xdr:row>5</xdr:row>
                    <xdr:rowOff>12700</xdr:rowOff>
                  </from>
                  <to>
                    <xdr:col>8</xdr:col>
                    <xdr:colOff>0</xdr:colOff>
                    <xdr:row>6</xdr:row>
                    <xdr:rowOff>12700</xdr:rowOff>
                  </to>
                </anchor>
              </controlPr>
            </control>
          </mc:Choice>
        </mc:AlternateContent>
        <mc:AlternateContent xmlns:mc="http://schemas.openxmlformats.org/markup-compatibility/2006">
          <mc:Choice Requires="x14">
            <control shapeId="1169" r:id="rId29" name="Check Box 145">
              <controlPr defaultSize="0" autoFill="0" autoLine="0" autoPict="0">
                <anchor moveWithCells="1">
                  <from>
                    <xdr:col>0</xdr:col>
                    <xdr:colOff>2171700</xdr:colOff>
                    <xdr:row>5</xdr:row>
                    <xdr:rowOff>12700</xdr:rowOff>
                  </from>
                  <to>
                    <xdr:col>6</xdr:col>
                    <xdr:colOff>508000</xdr:colOff>
                    <xdr:row>6</xdr:row>
                    <xdr:rowOff>12700</xdr:rowOff>
                  </to>
                </anchor>
              </controlPr>
            </control>
          </mc:Choice>
        </mc:AlternateContent>
        <mc:AlternateContent xmlns:mc="http://schemas.openxmlformats.org/markup-compatibility/2006">
          <mc:Choice Requires="x14">
            <control shapeId="1170" r:id="rId30" name="Check Box 146">
              <controlPr defaultSize="0" autoFill="0" autoLine="0" autoPict="0">
                <anchor moveWithCells="1">
                  <from>
                    <xdr:col>0</xdr:col>
                    <xdr:colOff>2171700</xdr:colOff>
                    <xdr:row>5</xdr:row>
                    <xdr:rowOff>12700</xdr:rowOff>
                  </from>
                  <to>
                    <xdr:col>6</xdr:col>
                    <xdr:colOff>0</xdr:colOff>
                    <xdr:row>6</xdr:row>
                    <xdr:rowOff>12700</xdr:rowOff>
                  </to>
                </anchor>
              </controlPr>
            </control>
          </mc:Choice>
        </mc:AlternateContent>
        <mc:AlternateContent xmlns:mc="http://schemas.openxmlformats.org/markup-compatibility/2006">
          <mc:Choice Requires="x14">
            <control shapeId="1171" r:id="rId31" name="Check Box 147">
              <controlPr defaultSize="0" autoFill="0" autoLine="0" autoPict="0">
                <anchor moveWithCells="1">
                  <from>
                    <xdr:col>0</xdr:col>
                    <xdr:colOff>2171700</xdr:colOff>
                    <xdr:row>5</xdr:row>
                    <xdr:rowOff>12700</xdr:rowOff>
                  </from>
                  <to>
                    <xdr:col>5</xdr:col>
                    <xdr:colOff>0</xdr:colOff>
                    <xdr:row>6</xdr:row>
                    <xdr:rowOff>12700</xdr:rowOff>
                  </to>
                </anchor>
              </controlPr>
            </control>
          </mc:Choice>
        </mc:AlternateContent>
        <mc:AlternateContent xmlns:mc="http://schemas.openxmlformats.org/markup-compatibility/2006">
          <mc:Choice Requires="x14">
            <control shapeId="1172" r:id="rId32" name="Check Box 148">
              <controlPr defaultSize="0" autoFill="0" autoLine="0" autoPict="0">
                <anchor moveWithCells="1">
                  <from>
                    <xdr:col>0</xdr:col>
                    <xdr:colOff>2171700</xdr:colOff>
                    <xdr:row>5</xdr:row>
                    <xdr:rowOff>12700</xdr:rowOff>
                  </from>
                  <to>
                    <xdr:col>4</xdr:col>
                    <xdr:colOff>0</xdr:colOff>
                    <xdr:row>6</xdr:row>
                    <xdr:rowOff>12700</xdr:rowOff>
                  </to>
                </anchor>
              </controlPr>
            </control>
          </mc:Choice>
        </mc:AlternateContent>
        <mc:AlternateContent xmlns:mc="http://schemas.openxmlformats.org/markup-compatibility/2006">
          <mc:Choice Requires="x14">
            <control shapeId="1173" r:id="rId33" name="Check Box 149">
              <controlPr defaultSize="0" autoFill="0" autoLine="0" autoPict="0">
                <anchor moveWithCells="1">
                  <from>
                    <xdr:col>0</xdr:col>
                    <xdr:colOff>2171700</xdr:colOff>
                    <xdr:row>5</xdr:row>
                    <xdr:rowOff>12700</xdr:rowOff>
                  </from>
                  <to>
                    <xdr:col>3</xdr:col>
                    <xdr:colOff>0</xdr:colOff>
                    <xdr:row>6</xdr:row>
                    <xdr:rowOff>12700</xdr:rowOff>
                  </to>
                </anchor>
              </controlPr>
            </control>
          </mc:Choice>
        </mc:AlternateContent>
        <mc:AlternateContent xmlns:mc="http://schemas.openxmlformats.org/markup-compatibility/2006">
          <mc:Choice Requires="x14">
            <control shapeId="1174" r:id="rId34" name="Check Box 150">
              <controlPr defaultSize="0" autoFill="0" autoLine="0" autoPict="0">
                <anchor moveWithCells="1">
                  <from>
                    <xdr:col>0</xdr:col>
                    <xdr:colOff>2171700</xdr:colOff>
                    <xdr:row>5</xdr:row>
                    <xdr:rowOff>12700</xdr:rowOff>
                  </from>
                  <to>
                    <xdr:col>2</xdr:col>
                    <xdr:colOff>0</xdr:colOff>
                    <xdr:row>6</xdr:row>
                    <xdr:rowOff>12700</xdr:rowOff>
                  </to>
                </anchor>
              </controlPr>
            </control>
          </mc:Choice>
        </mc:AlternateContent>
        <mc:AlternateContent xmlns:mc="http://schemas.openxmlformats.org/markup-compatibility/2006">
          <mc:Choice Requires="x14">
            <control shapeId="1175" r:id="rId35" name="Check Box 151">
              <controlPr defaultSize="0" autoFill="0" autoLine="0" autoPict="0">
                <anchor moveWithCells="1">
                  <from>
                    <xdr:col>0</xdr:col>
                    <xdr:colOff>2171700</xdr:colOff>
                    <xdr:row>5</xdr:row>
                    <xdr:rowOff>508000</xdr:rowOff>
                  </from>
                  <to>
                    <xdr:col>9</xdr:col>
                    <xdr:colOff>0</xdr:colOff>
                    <xdr:row>6</xdr:row>
                    <xdr:rowOff>508000</xdr:rowOff>
                  </to>
                </anchor>
              </controlPr>
            </control>
          </mc:Choice>
        </mc:AlternateContent>
        <mc:AlternateContent xmlns:mc="http://schemas.openxmlformats.org/markup-compatibility/2006">
          <mc:Choice Requires="x14">
            <control shapeId="1176" r:id="rId36" name="Check Box 152">
              <controlPr defaultSize="0" autoFill="0" autoLine="0" autoPict="0">
                <anchor moveWithCells="1">
                  <from>
                    <xdr:col>0</xdr:col>
                    <xdr:colOff>2171700</xdr:colOff>
                    <xdr:row>5</xdr:row>
                    <xdr:rowOff>508000</xdr:rowOff>
                  </from>
                  <to>
                    <xdr:col>8</xdr:col>
                    <xdr:colOff>0</xdr:colOff>
                    <xdr:row>6</xdr:row>
                    <xdr:rowOff>508000</xdr:rowOff>
                  </to>
                </anchor>
              </controlPr>
            </control>
          </mc:Choice>
        </mc:AlternateContent>
        <mc:AlternateContent xmlns:mc="http://schemas.openxmlformats.org/markup-compatibility/2006">
          <mc:Choice Requires="x14">
            <control shapeId="1177" r:id="rId37" name="Check Box 153">
              <controlPr defaultSize="0" autoFill="0" autoLine="0" autoPict="0">
                <anchor moveWithCells="1">
                  <from>
                    <xdr:col>0</xdr:col>
                    <xdr:colOff>2171700</xdr:colOff>
                    <xdr:row>5</xdr:row>
                    <xdr:rowOff>508000</xdr:rowOff>
                  </from>
                  <to>
                    <xdr:col>6</xdr:col>
                    <xdr:colOff>508000</xdr:colOff>
                    <xdr:row>6</xdr:row>
                    <xdr:rowOff>508000</xdr:rowOff>
                  </to>
                </anchor>
              </controlPr>
            </control>
          </mc:Choice>
        </mc:AlternateContent>
        <mc:AlternateContent xmlns:mc="http://schemas.openxmlformats.org/markup-compatibility/2006">
          <mc:Choice Requires="x14">
            <control shapeId="1178" r:id="rId38" name="Check Box 154">
              <controlPr defaultSize="0" autoFill="0" autoLine="0" autoPict="0">
                <anchor moveWithCells="1">
                  <from>
                    <xdr:col>0</xdr:col>
                    <xdr:colOff>2171700</xdr:colOff>
                    <xdr:row>5</xdr:row>
                    <xdr:rowOff>508000</xdr:rowOff>
                  </from>
                  <to>
                    <xdr:col>6</xdr:col>
                    <xdr:colOff>0</xdr:colOff>
                    <xdr:row>6</xdr:row>
                    <xdr:rowOff>508000</xdr:rowOff>
                  </to>
                </anchor>
              </controlPr>
            </control>
          </mc:Choice>
        </mc:AlternateContent>
        <mc:AlternateContent xmlns:mc="http://schemas.openxmlformats.org/markup-compatibility/2006">
          <mc:Choice Requires="x14">
            <control shapeId="1179" r:id="rId39" name="Check Box 155">
              <controlPr defaultSize="0" autoFill="0" autoLine="0" autoPict="0">
                <anchor moveWithCells="1">
                  <from>
                    <xdr:col>0</xdr:col>
                    <xdr:colOff>2171700</xdr:colOff>
                    <xdr:row>5</xdr:row>
                    <xdr:rowOff>508000</xdr:rowOff>
                  </from>
                  <to>
                    <xdr:col>5</xdr:col>
                    <xdr:colOff>0</xdr:colOff>
                    <xdr:row>6</xdr:row>
                    <xdr:rowOff>508000</xdr:rowOff>
                  </to>
                </anchor>
              </controlPr>
            </control>
          </mc:Choice>
        </mc:AlternateContent>
        <mc:AlternateContent xmlns:mc="http://schemas.openxmlformats.org/markup-compatibility/2006">
          <mc:Choice Requires="x14">
            <control shapeId="1180" r:id="rId40" name="Check Box 156">
              <controlPr defaultSize="0" autoFill="0" autoLine="0" autoPict="0">
                <anchor moveWithCells="1">
                  <from>
                    <xdr:col>0</xdr:col>
                    <xdr:colOff>2171700</xdr:colOff>
                    <xdr:row>5</xdr:row>
                    <xdr:rowOff>508000</xdr:rowOff>
                  </from>
                  <to>
                    <xdr:col>4</xdr:col>
                    <xdr:colOff>0</xdr:colOff>
                    <xdr:row>6</xdr:row>
                    <xdr:rowOff>508000</xdr:rowOff>
                  </to>
                </anchor>
              </controlPr>
            </control>
          </mc:Choice>
        </mc:AlternateContent>
        <mc:AlternateContent xmlns:mc="http://schemas.openxmlformats.org/markup-compatibility/2006">
          <mc:Choice Requires="x14">
            <control shapeId="1181" r:id="rId41" name="Check Box 157">
              <controlPr defaultSize="0" autoFill="0" autoLine="0" autoPict="0">
                <anchor moveWithCells="1">
                  <from>
                    <xdr:col>0</xdr:col>
                    <xdr:colOff>2171700</xdr:colOff>
                    <xdr:row>5</xdr:row>
                    <xdr:rowOff>508000</xdr:rowOff>
                  </from>
                  <to>
                    <xdr:col>3</xdr:col>
                    <xdr:colOff>0</xdr:colOff>
                    <xdr:row>6</xdr:row>
                    <xdr:rowOff>508000</xdr:rowOff>
                  </to>
                </anchor>
              </controlPr>
            </control>
          </mc:Choice>
        </mc:AlternateContent>
        <mc:AlternateContent xmlns:mc="http://schemas.openxmlformats.org/markup-compatibility/2006">
          <mc:Choice Requires="x14">
            <control shapeId="1182" r:id="rId42" name="Check Box 158">
              <controlPr defaultSize="0" autoFill="0" autoLine="0" autoPict="0">
                <anchor moveWithCells="1">
                  <from>
                    <xdr:col>0</xdr:col>
                    <xdr:colOff>2171700</xdr:colOff>
                    <xdr:row>5</xdr:row>
                    <xdr:rowOff>508000</xdr:rowOff>
                  </from>
                  <to>
                    <xdr:col>2</xdr:col>
                    <xdr:colOff>0</xdr:colOff>
                    <xdr:row>6</xdr:row>
                    <xdr:rowOff>508000</xdr:rowOff>
                  </to>
                </anchor>
              </controlPr>
            </control>
          </mc:Choice>
        </mc:AlternateContent>
        <mc:AlternateContent xmlns:mc="http://schemas.openxmlformats.org/markup-compatibility/2006">
          <mc:Choice Requires="x14">
            <control shapeId="1183" r:id="rId43" name="Check Box 159">
              <controlPr defaultSize="0" autoFill="0" autoLine="0" autoPict="0">
                <anchor moveWithCells="1">
                  <from>
                    <xdr:col>0</xdr:col>
                    <xdr:colOff>2184400</xdr:colOff>
                    <xdr:row>7</xdr:row>
                    <xdr:rowOff>12700</xdr:rowOff>
                  </from>
                  <to>
                    <xdr:col>9</xdr:col>
                    <xdr:colOff>12700</xdr:colOff>
                    <xdr:row>8</xdr:row>
                    <xdr:rowOff>12700</xdr:rowOff>
                  </to>
                </anchor>
              </controlPr>
            </control>
          </mc:Choice>
        </mc:AlternateContent>
        <mc:AlternateContent xmlns:mc="http://schemas.openxmlformats.org/markup-compatibility/2006">
          <mc:Choice Requires="x14">
            <control shapeId="1184" r:id="rId44" name="Check Box 160">
              <controlPr defaultSize="0" autoFill="0" autoLine="0" autoPict="0">
                <anchor moveWithCells="1">
                  <from>
                    <xdr:col>0</xdr:col>
                    <xdr:colOff>2184400</xdr:colOff>
                    <xdr:row>7</xdr:row>
                    <xdr:rowOff>12700</xdr:rowOff>
                  </from>
                  <to>
                    <xdr:col>8</xdr:col>
                    <xdr:colOff>12700</xdr:colOff>
                    <xdr:row>8</xdr:row>
                    <xdr:rowOff>12700</xdr:rowOff>
                  </to>
                </anchor>
              </controlPr>
            </control>
          </mc:Choice>
        </mc:AlternateContent>
        <mc:AlternateContent xmlns:mc="http://schemas.openxmlformats.org/markup-compatibility/2006">
          <mc:Choice Requires="x14">
            <control shapeId="1185" r:id="rId45" name="Check Box 161">
              <controlPr defaultSize="0" autoFill="0" autoLine="0" autoPict="0">
                <anchor moveWithCells="1">
                  <from>
                    <xdr:col>0</xdr:col>
                    <xdr:colOff>2184400</xdr:colOff>
                    <xdr:row>7</xdr:row>
                    <xdr:rowOff>12700</xdr:rowOff>
                  </from>
                  <to>
                    <xdr:col>7</xdr:col>
                    <xdr:colOff>0</xdr:colOff>
                    <xdr:row>8</xdr:row>
                    <xdr:rowOff>12700</xdr:rowOff>
                  </to>
                </anchor>
              </controlPr>
            </control>
          </mc:Choice>
        </mc:AlternateContent>
        <mc:AlternateContent xmlns:mc="http://schemas.openxmlformats.org/markup-compatibility/2006">
          <mc:Choice Requires="x14">
            <control shapeId="1186" r:id="rId46" name="Check Box 162">
              <controlPr defaultSize="0" autoFill="0" autoLine="0" autoPict="0">
                <anchor moveWithCells="1">
                  <from>
                    <xdr:col>0</xdr:col>
                    <xdr:colOff>2184400</xdr:colOff>
                    <xdr:row>7</xdr:row>
                    <xdr:rowOff>12700</xdr:rowOff>
                  </from>
                  <to>
                    <xdr:col>6</xdr:col>
                    <xdr:colOff>12700</xdr:colOff>
                    <xdr:row>8</xdr:row>
                    <xdr:rowOff>12700</xdr:rowOff>
                  </to>
                </anchor>
              </controlPr>
            </control>
          </mc:Choice>
        </mc:AlternateContent>
        <mc:AlternateContent xmlns:mc="http://schemas.openxmlformats.org/markup-compatibility/2006">
          <mc:Choice Requires="x14">
            <control shapeId="1187" r:id="rId47" name="Check Box 163">
              <controlPr defaultSize="0" autoFill="0" autoLine="0" autoPict="0">
                <anchor moveWithCells="1">
                  <from>
                    <xdr:col>0</xdr:col>
                    <xdr:colOff>2184400</xdr:colOff>
                    <xdr:row>7</xdr:row>
                    <xdr:rowOff>12700</xdr:rowOff>
                  </from>
                  <to>
                    <xdr:col>5</xdr:col>
                    <xdr:colOff>12700</xdr:colOff>
                    <xdr:row>8</xdr:row>
                    <xdr:rowOff>12700</xdr:rowOff>
                  </to>
                </anchor>
              </controlPr>
            </control>
          </mc:Choice>
        </mc:AlternateContent>
        <mc:AlternateContent xmlns:mc="http://schemas.openxmlformats.org/markup-compatibility/2006">
          <mc:Choice Requires="x14">
            <control shapeId="1188" r:id="rId48" name="Check Box 164">
              <controlPr defaultSize="0" autoFill="0" autoLine="0" autoPict="0">
                <anchor moveWithCells="1">
                  <from>
                    <xdr:col>0</xdr:col>
                    <xdr:colOff>2184400</xdr:colOff>
                    <xdr:row>7</xdr:row>
                    <xdr:rowOff>12700</xdr:rowOff>
                  </from>
                  <to>
                    <xdr:col>4</xdr:col>
                    <xdr:colOff>12700</xdr:colOff>
                    <xdr:row>8</xdr:row>
                    <xdr:rowOff>12700</xdr:rowOff>
                  </to>
                </anchor>
              </controlPr>
            </control>
          </mc:Choice>
        </mc:AlternateContent>
        <mc:AlternateContent xmlns:mc="http://schemas.openxmlformats.org/markup-compatibility/2006">
          <mc:Choice Requires="x14">
            <control shapeId="1189" r:id="rId49" name="Check Box 165">
              <controlPr defaultSize="0" autoFill="0" autoLine="0" autoPict="0">
                <anchor moveWithCells="1">
                  <from>
                    <xdr:col>0</xdr:col>
                    <xdr:colOff>2184400</xdr:colOff>
                    <xdr:row>7</xdr:row>
                    <xdr:rowOff>12700</xdr:rowOff>
                  </from>
                  <to>
                    <xdr:col>3</xdr:col>
                    <xdr:colOff>12700</xdr:colOff>
                    <xdr:row>8</xdr:row>
                    <xdr:rowOff>12700</xdr:rowOff>
                  </to>
                </anchor>
              </controlPr>
            </control>
          </mc:Choice>
        </mc:AlternateContent>
        <mc:AlternateContent xmlns:mc="http://schemas.openxmlformats.org/markup-compatibility/2006">
          <mc:Choice Requires="x14">
            <control shapeId="1190" r:id="rId50" name="Check Box 166">
              <controlPr defaultSize="0" autoFill="0" autoLine="0" autoPict="0">
                <anchor moveWithCells="1">
                  <from>
                    <xdr:col>0</xdr:col>
                    <xdr:colOff>2184400</xdr:colOff>
                    <xdr:row>7</xdr:row>
                    <xdr:rowOff>12700</xdr:rowOff>
                  </from>
                  <to>
                    <xdr:col>2</xdr:col>
                    <xdr:colOff>12700</xdr:colOff>
                    <xdr:row>8</xdr:row>
                    <xdr:rowOff>12700</xdr:rowOff>
                  </to>
                </anchor>
              </controlPr>
            </control>
          </mc:Choice>
        </mc:AlternateContent>
        <mc:AlternateContent xmlns:mc="http://schemas.openxmlformats.org/markup-compatibility/2006">
          <mc:Choice Requires="x14">
            <control shapeId="1032" r:id="rId51" name="Check Box 8">
              <controlPr defaultSize="0" autoFill="0" autoLine="0" autoPict="0">
                <anchor moveWithCells="1">
                  <from>
                    <xdr:col>0</xdr:col>
                    <xdr:colOff>2184400</xdr:colOff>
                    <xdr:row>0</xdr:row>
                    <xdr:rowOff>0</xdr:rowOff>
                  </from>
                  <to>
                    <xdr:col>5</xdr:col>
                    <xdr:colOff>12700</xdr:colOff>
                    <xdr:row>1</xdr:row>
                    <xdr:rowOff>0</xdr:rowOff>
                  </to>
                </anchor>
              </controlPr>
            </control>
          </mc:Choice>
        </mc:AlternateContent>
        <mc:AlternateContent xmlns:mc="http://schemas.openxmlformats.org/markup-compatibility/2006">
          <mc:Choice Requires="x14">
            <control shapeId="1033" r:id="rId52" name="Check Box 9">
              <controlPr defaultSize="0" autoFill="0" autoLine="0" autoPict="0">
                <anchor moveWithCells="1">
                  <from>
                    <xdr:col>0</xdr:col>
                    <xdr:colOff>2184400</xdr:colOff>
                    <xdr:row>0</xdr:row>
                    <xdr:rowOff>0</xdr:rowOff>
                  </from>
                  <to>
                    <xdr:col>4</xdr:col>
                    <xdr:colOff>12700</xdr:colOff>
                    <xdr:row>1</xdr:row>
                    <xdr:rowOff>0</xdr:rowOff>
                  </to>
                </anchor>
              </controlPr>
            </control>
          </mc:Choice>
        </mc:AlternateContent>
        <mc:AlternateContent xmlns:mc="http://schemas.openxmlformats.org/markup-compatibility/2006">
          <mc:Choice Requires="x14">
            <control shapeId="1034" r:id="rId53" name="Check Box 10">
              <controlPr defaultSize="0" autoFill="0" autoLine="0" autoPict="0">
                <anchor moveWithCells="1">
                  <from>
                    <xdr:col>0</xdr:col>
                    <xdr:colOff>2184400</xdr:colOff>
                    <xdr:row>0</xdr:row>
                    <xdr:rowOff>0</xdr:rowOff>
                  </from>
                  <to>
                    <xdr:col>3</xdr:col>
                    <xdr:colOff>12700</xdr:colOff>
                    <xdr:row>1</xdr:row>
                    <xdr:rowOff>0</xdr:rowOff>
                  </to>
                </anchor>
              </controlPr>
            </control>
          </mc:Choice>
        </mc:AlternateContent>
        <mc:AlternateContent xmlns:mc="http://schemas.openxmlformats.org/markup-compatibility/2006">
          <mc:Choice Requires="x14">
            <control shapeId="1035" r:id="rId54" name="Check Box 11">
              <controlPr defaultSize="0" autoFill="0" autoLine="0" autoPict="0">
                <anchor moveWithCells="1">
                  <from>
                    <xdr:col>0</xdr:col>
                    <xdr:colOff>2184400</xdr:colOff>
                    <xdr:row>0</xdr:row>
                    <xdr:rowOff>0</xdr:rowOff>
                  </from>
                  <to>
                    <xdr:col>2</xdr:col>
                    <xdr:colOff>12700</xdr:colOff>
                    <xdr:row>1</xdr:row>
                    <xdr:rowOff>0</xdr:rowOff>
                  </to>
                </anchor>
              </controlPr>
            </control>
          </mc:Choice>
        </mc:AlternateContent>
        <mc:AlternateContent xmlns:mc="http://schemas.openxmlformats.org/markup-compatibility/2006">
          <mc:Choice Requires="x14">
            <control shapeId="1041" r:id="rId55" name="Check Box 17">
              <controlPr defaultSize="0" autoFill="0" autoLine="0" autoPict="0">
                <anchor moveWithCells="1">
                  <from>
                    <xdr:col>0</xdr:col>
                    <xdr:colOff>2184400</xdr:colOff>
                    <xdr:row>1</xdr:row>
                    <xdr:rowOff>12700</xdr:rowOff>
                  </from>
                  <to>
                    <xdr:col>7</xdr:col>
                    <xdr:colOff>0</xdr:colOff>
                    <xdr:row>2</xdr:row>
                    <xdr:rowOff>12700</xdr:rowOff>
                  </to>
                </anchor>
              </controlPr>
            </control>
          </mc:Choice>
        </mc:AlternateContent>
        <mc:AlternateContent xmlns:mc="http://schemas.openxmlformats.org/markup-compatibility/2006">
          <mc:Choice Requires="x14">
            <control shapeId="1042" r:id="rId56" name="Check Box 18">
              <controlPr defaultSize="0" autoFill="0" autoLine="0" autoPict="0">
                <anchor moveWithCells="1">
                  <from>
                    <xdr:col>0</xdr:col>
                    <xdr:colOff>2184400</xdr:colOff>
                    <xdr:row>1</xdr:row>
                    <xdr:rowOff>12700</xdr:rowOff>
                  </from>
                  <to>
                    <xdr:col>6</xdr:col>
                    <xdr:colOff>12700</xdr:colOff>
                    <xdr:row>2</xdr:row>
                    <xdr:rowOff>12700</xdr:rowOff>
                  </to>
                </anchor>
              </controlPr>
            </control>
          </mc:Choice>
        </mc:AlternateContent>
        <mc:AlternateContent xmlns:mc="http://schemas.openxmlformats.org/markup-compatibility/2006">
          <mc:Choice Requires="x14">
            <control shapeId="1043" r:id="rId57" name="Check Box 19">
              <controlPr defaultSize="0" autoFill="0" autoLine="0" autoPict="0">
                <anchor moveWithCells="1">
                  <from>
                    <xdr:col>0</xdr:col>
                    <xdr:colOff>2184400</xdr:colOff>
                    <xdr:row>1</xdr:row>
                    <xdr:rowOff>12700</xdr:rowOff>
                  </from>
                  <to>
                    <xdr:col>5</xdr:col>
                    <xdr:colOff>12700</xdr:colOff>
                    <xdr:row>2</xdr:row>
                    <xdr:rowOff>12700</xdr:rowOff>
                  </to>
                </anchor>
              </controlPr>
            </control>
          </mc:Choice>
        </mc:AlternateContent>
        <mc:AlternateContent xmlns:mc="http://schemas.openxmlformats.org/markup-compatibility/2006">
          <mc:Choice Requires="x14">
            <control shapeId="1044" r:id="rId58" name="Check Box 20">
              <controlPr defaultSize="0" autoFill="0" autoLine="0" autoPict="0">
                <anchor moveWithCells="1">
                  <from>
                    <xdr:col>0</xdr:col>
                    <xdr:colOff>2184400</xdr:colOff>
                    <xdr:row>1</xdr:row>
                    <xdr:rowOff>12700</xdr:rowOff>
                  </from>
                  <to>
                    <xdr:col>4</xdr:col>
                    <xdr:colOff>12700</xdr:colOff>
                    <xdr:row>2</xdr:row>
                    <xdr:rowOff>12700</xdr:rowOff>
                  </to>
                </anchor>
              </controlPr>
            </control>
          </mc:Choice>
        </mc:AlternateContent>
        <mc:AlternateContent xmlns:mc="http://schemas.openxmlformats.org/markup-compatibility/2006">
          <mc:Choice Requires="x14">
            <control shapeId="1045" r:id="rId59" name="Check Box 21">
              <controlPr defaultSize="0" autoFill="0" autoLine="0" autoPict="0">
                <anchor moveWithCells="1">
                  <from>
                    <xdr:col>0</xdr:col>
                    <xdr:colOff>2184400</xdr:colOff>
                    <xdr:row>1</xdr:row>
                    <xdr:rowOff>12700</xdr:rowOff>
                  </from>
                  <to>
                    <xdr:col>3</xdr:col>
                    <xdr:colOff>12700</xdr:colOff>
                    <xdr:row>2</xdr:row>
                    <xdr:rowOff>12700</xdr:rowOff>
                  </to>
                </anchor>
              </controlPr>
            </control>
          </mc:Choice>
        </mc:AlternateContent>
        <mc:AlternateContent xmlns:mc="http://schemas.openxmlformats.org/markup-compatibility/2006">
          <mc:Choice Requires="x14">
            <control shapeId="1046" r:id="rId60" name="Check Box 22">
              <controlPr defaultSize="0" autoFill="0" autoLine="0" autoPict="0">
                <anchor moveWithCells="1">
                  <from>
                    <xdr:col>0</xdr:col>
                    <xdr:colOff>2184400</xdr:colOff>
                    <xdr:row>1</xdr:row>
                    <xdr:rowOff>12700</xdr:rowOff>
                  </from>
                  <to>
                    <xdr:col>2</xdr:col>
                    <xdr:colOff>12700</xdr:colOff>
                    <xdr:row>2</xdr:row>
                    <xdr:rowOff>12700</xdr:rowOff>
                  </to>
                </anchor>
              </controlPr>
            </control>
          </mc:Choice>
        </mc:AlternateContent>
        <mc:AlternateContent xmlns:mc="http://schemas.openxmlformats.org/markup-compatibility/2006">
          <mc:Choice Requires="x14">
            <control shapeId="1030" r:id="rId61" name="Check Box 6">
              <controlPr defaultSize="0" autoFill="0" autoLine="0" autoPict="0">
                <anchor moveWithCells="1">
                  <from>
                    <xdr:col>0</xdr:col>
                    <xdr:colOff>2184400</xdr:colOff>
                    <xdr:row>0</xdr:row>
                    <xdr:rowOff>0</xdr:rowOff>
                  </from>
                  <to>
                    <xdr:col>7</xdr:col>
                    <xdr:colOff>0</xdr:colOff>
                    <xdr:row>1</xdr:row>
                    <xdr:rowOff>0</xdr:rowOff>
                  </to>
                </anchor>
              </controlPr>
            </control>
          </mc:Choice>
        </mc:AlternateContent>
        <mc:AlternateContent xmlns:mc="http://schemas.openxmlformats.org/markup-compatibility/2006">
          <mc:Choice Requires="x14">
            <control shapeId="1031" r:id="rId62" name="Check Box 7">
              <controlPr defaultSize="0" autoFill="0" autoLine="0" autoPict="0">
                <anchor moveWithCells="1">
                  <from>
                    <xdr:col>0</xdr:col>
                    <xdr:colOff>2184400</xdr:colOff>
                    <xdr:row>0</xdr:row>
                    <xdr:rowOff>0</xdr:rowOff>
                  </from>
                  <to>
                    <xdr:col>6</xdr:col>
                    <xdr:colOff>12700</xdr:colOff>
                    <xdr:row>1</xdr:row>
                    <xdr:rowOff>0</xdr:rowOff>
                  </to>
                </anchor>
              </controlPr>
            </control>
          </mc:Choice>
        </mc:AlternateContent>
        <mc:AlternateContent xmlns:mc="http://schemas.openxmlformats.org/markup-compatibility/2006">
          <mc:Choice Requires="x14">
            <control shapeId="1027" r:id="rId63" name="Check Box 3">
              <controlPr defaultSize="0" autoFill="0" autoLine="0" autoPict="0">
                <anchor moveWithCells="1">
                  <from>
                    <xdr:col>0</xdr:col>
                    <xdr:colOff>2184400</xdr:colOff>
                    <xdr:row>0</xdr:row>
                    <xdr:rowOff>0</xdr:rowOff>
                  </from>
                  <to>
                    <xdr:col>9</xdr:col>
                    <xdr:colOff>12700</xdr:colOff>
                    <xdr:row>1</xdr:row>
                    <xdr:rowOff>12700</xdr:rowOff>
                  </to>
                </anchor>
              </controlPr>
            </control>
          </mc:Choice>
        </mc:AlternateContent>
        <mc:AlternateContent xmlns:mc="http://schemas.openxmlformats.org/markup-compatibility/2006">
          <mc:Choice Requires="x14">
            <control shapeId="1029" r:id="rId64" name="Check Box 5">
              <controlPr defaultSize="0" autoFill="0" autoLine="0" autoPict="0">
                <anchor moveWithCells="1">
                  <from>
                    <xdr:col>0</xdr:col>
                    <xdr:colOff>2184400</xdr:colOff>
                    <xdr:row>0</xdr:row>
                    <xdr:rowOff>0</xdr:rowOff>
                  </from>
                  <to>
                    <xdr:col>8</xdr:col>
                    <xdr:colOff>12700</xdr:colOff>
                    <xdr:row>1</xdr:row>
                    <xdr:rowOff>0</xdr:rowOff>
                  </to>
                </anchor>
              </controlPr>
            </control>
          </mc:Choice>
        </mc:AlternateContent>
        <mc:AlternateContent xmlns:mc="http://schemas.openxmlformats.org/markup-compatibility/2006">
          <mc:Choice Requires="x14">
            <control shapeId="1039" r:id="rId65" name="Check Box 15">
              <controlPr defaultSize="0" autoFill="0" autoLine="0" autoPict="0">
                <anchor moveWithCells="1">
                  <from>
                    <xdr:col>0</xdr:col>
                    <xdr:colOff>2184400</xdr:colOff>
                    <xdr:row>1</xdr:row>
                    <xdr:rowOff>12700</xdr:rowOff>
                  </from>
                  <to>
                    <xdr:col>9</xdr:col>
                    <xdr:colOff>12700</xdr:colOff>
                    <xdr:row>2</xdr:row>
                    <xdr:rowOff>25400</xdr:rowOff>
                  </to>
                </anchor>
              </controlPr>
            </control>
          </mc:Choice>
        </mc:AlternateContent>
        <mc:AlternateContent xmlns:mc="http://schemas.openxmlformats.org/markup-compatibility/2006">
          <mc:Choice Requires="x14">
            <control shapeId="1040" r:id="rId66" name="Check Box 16">
              <controlPr defaultSize="0" autoFill="0" autoLine="0" autoPict="0">
                <anchor moveWithCells="1">
                  <from>
                    <xdr:col>0</xdr:col>
                    <xdr:colOff>2184400</xdr:colOff>
                    <xdr:row>1</xdr:row>
                    <xdr:rowOff>12700</xdr:rowOff>
                  </from>
                  <to>
                    <xdr:col>8</xdr:col>
                    <xdr:colOff>12700</xdr:colOff>
                    <xdr:row>2</xdr:row>
                    <xdr:rowOff>12700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D254F712-8174-A64E-A579-4AB95EC47217}">
            <xm:f>AND(   NOT(livegame!$Q$15),   INDEX(inputsimplified!$X$91:$AE$98, ROW()-ROW($B$1)+1, COLUMN()-COLUMN($B$1)+1)=TRUE )</xm:f>
            <x14:dxf>
              <fill>
                <patternFill>
                  <bgColor theme="7" tint="0.79998168889431442"/>
                </patternFill>
              </fill>
            </x14:dxf>
          </x14:cfRule>
          <x14:cfRule type="expression" priority="18" stopIfTrue="1" id="{BF0CFBE6-C94D-114D-8212-549C004766C4}">
            <xm:f>AND(INDIRECT("RC",FALSE)&lt;&gt;"",NOT(livegame!$Q$15),RIGHT(ROW())=RIGHT(INDIRECT("inputsimplified!M12")), COLUMN()=CODE(INDIRECT("inputsimplified!M12"))-64+1)</xm:f>
            <x14:dxf>
              <fill>
                <patternFill patternType="darkGrid">
                  <fgColor theme="9" tint="0.39994506668294322"/>
                  <bgColor theme="9" tint="0.59996337778862885"/>
                </patternFill>
              </fill>
              <border>
                <left style="thin">
                  <color theme="1"/>
                </left>
                <right style="thin">
                  <color theme="1"/>
                </right>
                <top style="thin">
                  <color theme="1"/>
                </top>
                <bottom style="thin">
                  <color theme="1"/>
                </bottom>
                <vertical/>
                <horizontal/>
              </border>
            </x14:dxf>
          </x14:cfRule>
          <x14:cfRule type="expression" priority="19" stopIfTrue="1" id="{00000000-000E-0000-0000-000001000000}">
            <xm:f>AND(   NOT(livegame!$Q$15),   INDEX(inputsimplified!$X$100:$AE$107, ROW()-ROW($B$1)+1, COLUMN()-COLUMN($B$1)+1)=TRUE,   INDEX(inputsimplified!$X$91:$AE$98,   ROW()-ROW($B$1)+1, COLUMN()-COLUMN($B$1)+1)&lt;&gt;TRUE )</xm:f>
            <x14:dxf>
              <fill>
                <patternFill>
                  <bgColor rgb="FFFFC7CE"/>
                </patternFill>
              </fill>
            </x14:dxf>
          </x14:cfRule>
          <xm:sqref>B1:I8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1CCFA-7BAC-5A49-8C4A-70723D3E69F5}">
  <dimension ref="A1:J17"/>
  <sheetViews>
    <sheetView zoomScale="394" workbookViewId="0">
      <selection activeCell="H7" sqref="H7"/>
    </sheetView>
  </sheetViews>
  <sheetFormatPr baseColWidth="10" defaultRowHeight="16"/>
  <cols>
    <col min="1" max="8" width="2.83203125" customWidth="1"/>
  </cols>
  <sheetData>
    <row r="1" spans="1:10">
      <c r="A1" s="1" t="str">
        <f ca="1">IF(RIGHT(livegame!I5)="0","",RIGHT(livegame!I5))</f>
        <v>1</v>
      </c>
      <c r="B1" s="1" t="str">
        <f ca="1">IF(RIGHT(livegame!J5)="0","",RIGHT(livegame!J5))</f>
        <v>1</v>
      </c>
      <c r="C1" s="1" t="str">
        <f ca="1">IF(RIGHT(livegame!K5)="0","",RIGHT(livegame!K5))</f>
        <v>1</v>
      </c>
      <c r="D1" s="1" t="str">
        <f ca="1">IF(RIGHT(livegame!L5)="0","",RIGHT(livegame!L5))</f>
        <v>1</v>
      </c>
      <c r="E1" s="1" t="str">
        <f ca="1">IF(RIGHT(livegame!M5)="0","",RIGHT(livegame!M5))</f>
        <v>1</v>
      </c>
      <c r="F1" s="1" t="str">
        <f ca="1">IF(RIGHT(livegame!N5)="0","",RIGHT(livegame!N5))</f>
        <v>1</v>
      </c>
      <c r="G1" s="1" t="str">
        <f ca="1">IF(RIGHT(livegame!O5)="0","",RIGHT(livegame!O5))</f>
        <v>1</v>
      </c>
      <c r="H1" s="1" t="str">
        <f ca="1">IF(RIGHT(livegame!P5)="0","",RIGHT(livegame!P5))</f>
        <v>1</v>
      </c>
      <c r="J1" s="4"/>
    </row>
    <row r="2" spans="1:10">
      <c r="A2" s="1" t="str">
        <f ca="1">IF(RIGHT(livegame!I6)="0","",RIGHT(livegame!I6))</f>
        <v>1</v>
      </c>
      <c r="B2" s="1" t="str">
        <f ca="1">IF(RIGHT(livegame!J6)="0","",RIGHT(livegame!J6))</f>
        <v>1</v>
      </c>
      <c r="C2" s="1" t="str">
        <f ca="1">IF(RIGHT(livegame!K6)="0","",RIGHT(livegame!K6))</f>
        <v>1</v>
      </c>
      <c r="D2" s="1" t="str">
        <f ca="1">IF(RIGHT(livegame!L6)="0","",RIGHT(livegame!L6))</f>
        <v>1</v>
      </c>
      <c r="E2" s="1" t="str">
        <f ca="1">IF(RIGHT(livegame!M6)="0","",RIGHT(livegame!M6))</f>
        <v>1</v>
      </c>
      <c r="F2" s="1" t="str">
        <f ca="1">IF(RIGHT(livegame!N6)="0","",RIGHT(livegame!N6))</f>
        <v>1</v>
      </c>
      <c r="G2" s="1" t="str">
        <f ca="1">IF(RIGHT(livegame!O6)="0","",RIGHT(livegame!O6))</f>
        <v>1</v>
      </c>
      <c r="H2" s="1" t="str">
        <f ca="1">IF(RIGHT(livegame!P6)="0","",RIGHT(livegame!P6))</f>
        <v>1</v>
      </c>
    </row>
    <row r="3" spans="1:10">
      <c r="A3" s="1" t="str">
        <f ca="1">IF(RIGHT(livegame!I7)="0","",RIGHT(livegame!I7))</f>
        <v/>
      </c>
      <c r="B3" s="1" t="str">
        <f ca="1">IF(RIGHT(livegame!J7)="0","",RIGHT(livegame!J7))</f>
        <v/>
      </c>
      <c r="C3" s="1" t="str">
        <f ca="1">IF(RIGHT(livegame!K7)="0","",RIGHT(livegame!K7))</f>
        <v/>
      </c>
      <c r="D3" s="1" t="str">
        <f ca="1">IF(RIGHT(livegame!L7)="0","",RIGHT(livegame!L7))</f>
        <v/>
      </c>
      <c r="E3" s="1" t="str">
        <f ca="1">IF(RIGHT(livegame!M7)="0","",RIGHT(livegame!M7))</f>
        <v/>
      </c>
      <c r="F3" s="1" t="str">
        <f ca="1">IF(RIGHT(livegame!N7)="0","",RIGHT(livegame!N7))</f>
        <v/>
      </c>
      <c r="G3" s="1" t="str">
        <f ca="1">IF(RIGHT(livegame!O7)="0","",RIGHT(livegame!O7))</f>
        <v/>
      </c>
      <c r="H3" s="1" t="str">
        <f ca="1">IF(RIGHT(livegame!P7)="0","",RIGHT(livegame!P7))</f>
        <v/>
      </c>
    </row>
    <row r="4" spans="1:10">
      <c r="A4" s="1" t="str">
        <f ca="1">IF(RIGHT(livegame!I8)="0","",RIGHT(livegame!I8))</f>
        <v/>
      </c>
      <c r="B4" s="1" t="str">
        <f ca="1">IF(RIGHT(livegame!J8)="0","",RIGHT(livegame!J8))</f>
        <v/>
      </c>
      <c r="C4" s="1" t="str">
        <f ca="1">IF(RIGHT(livegame!K8)="0","",RIGHT(livegame!K8))</f>
        <v/>
      </c>
      <c r="D4" s="1" t="str">
        <f ca="1">IF(RIGHT(livegame!L8)="0","",RIGHT(livegame!L8))</f>
        <v/>
      </c>
      <c r="E4" s="1" t="str">
        <f ca="1">IF(RIGHT(livegame!M8)="0","",RIGHT(livegame!M8))</f>
        <v/>
      </c>
      <c r="F4" s="1" t="str">
        <f ca="1">IF(RIGHT(livegame!N8)="0","",RIGHT(livegame!N8))</f>
        <v/>
      </c>
      <c r="G4" s="1" t="str">
        <f ca="1">IF(RIGHT(livegame!O8)="0","",RIGHT(livegame!O8))</f>
        <v/>
      </c>
      <c r="H4" s="1" t="str">
        <f ca="1">IF(RIGHT(livegame!P8)="0","",RIGHT(livegame!P8))</f>
        <v/>
      </c>
    </row>
    <row r="5" spans="1:10">
      <c r="A5" s="1" t="str">
        <f ca="1">IF(RIGHT(livegame!I9)="0","",RIGHT(livegame!I9))</f>
        <v/>
      </c>
      <c r="B5" s="1" t="str">
        <f ca="1">IF(RIGHT(livegame!J9)="0","",RIGHT(livegame!J9))</f>
        <v/>
      </c>
      <c r="C5" s="1" t="str">
        <f ca="1">IF(RIGHT(livegame!K9)="0","",RIGHT(livegame!K9))</f>
        <v/>
      </c>
      <c r="D5" s="1" t="str">
        <f ca="1">IF(RIGHT(livegame!L9)="0","",RIGHT(livegame!L9))</f>
        <v/>
      </c>
      <c r="E5" s="1" t="str">
        <f ca="1">IF(RIGHT(livegame!M9)="0","",RIGHT(livegame!M9))</f>
        <v/>
      </c>
      <c r="F5" s="1" t="str">
        <f ca="1">IF(RIGHT(livegame!N9)="0","",RIGHT(livegame!N9))</f>
        <v/>
      </c>
      <c r="G5" s="1" t="str">
        <f ca="1">IF(RIGHT(livegame!O9)="0","",RIGHT(livegame!O9))</f>
        <v/>
      </c>
      <c r="H5" s="1" t="str">
        <f ca="1">IF(RIGHT(livegame!P9)="0","",RIGHT(livegame!P9))</f>
        <v/>
      </c>
    </row>
    <row r="6" spans="1:10">
      <c r="A6" s="1" t="str">
        <f ca="1">IF(RIGHT(livegame!I10)="0","",RIGHT(livegame!I10))</f>
        <v/>
      </c>
      <c r="B6" s="1" t="str">
        <f ca="1">IF(RIGHT(livegame!J10)="0","",RIGHT(livegame!J10))</f>
        <v/>
      </c>
      <c r="C6" s="1" t="str">
        <f ca="1">IF(RIGHT(livegame!K10)="0","",RIGHT(livegame!K10))</f>
        <v/>
      </c>
      <c r="D6" s="1" t="str">
        <f ca="1">IF(RIGHT(livegame!L10)="0","",RIGHT(livegame!L10))</f>
        <v/>
      </c>
      <c r="E6" s="1" t="str">
        <f ca="1">IF(RIGHT(livegame!M10)="0","",RIGHT(livegame!M10))</f>
        <v/>
      </c>
      <c r="F6" s="1" t="str">
        <f ca="1">IF(RIGHT(livegame!N10)="0","",RIGHT(livegame!N10))</f>
        <v/>
      </c>
      <c r="G6" s="1" t="str">
        <f ca="1">IF(RIGHT(livegame!O10)="0","",RIGHT(livegame!O10))</f>
        <v/>
      </c>
      <c r="H6" s="1" t="str">
        <f ca="1">IF(RIGHT(livegame!P10)="0","",RIGHT(livegame!P10))</f>
        <v/>
      </c>
    </row>
    <row r="7" spans="1:10">
      <c r="A7" s="1" t="str">
        <f ca="1">IF(RIGHT(livegame!I11)="0","",RIGHT(livegame!I11))</f>
        <v>2</v>
      </c>
      <c r="B7" s="1" t="str">
        <f ca="1">IF(RIGHT(livegame!J11)="0","",RIGHT(livegame!J11))</f>
        <v>2</v>
      </c>
      <c r="C7" s="1" t="str">
        <f ca="1">IF(RIGHT(livegame!K11)="0","",RIGHT(livegame!K11))</f>
        <v>2</v>
      </c>
      <c r="D7" s="1" t="str">
        <f ca="1">IF(RIGHT(livegame!L11)="0","",RIGHT(livegame!L11))</f>
        <v>2</v>
      </c>
      <c r="E7" s="1" t="str">
        <f ca="1">IF(RIGHT(livegame!M11)="0","",RIGHT(livegame!M11))</f>
        <v>2</v>
      </c>
      <c r="F7" s="1" t="str">
        <f ca="1">IF(RIGHT(livegame!N11)="0","",RIGHT(livegame!N11))</f>
        <v>2</v>
      </c>
      <c r="G7" s="1" t="str">
        <f ca="1">IF(RIGHT(livegame!O11)="0","",RIGHT(livegame!O11))</f>
        <v>2</v>
      </c>
      <c r="H7" s="1" t="str">
        <f ca="1">IF(RIGHT(livegame!P11)="0","",RIGHT(livegame!P11))</f>
        <v>2</v>
      </c>
    </row>
    <row r="8" spans="1:10">
      <c r="A8" s="1" t="str">
        <f ca="1">IF(RIGHT(livegame!I12)="0","",RIGHT(livegame!I12))</f>
        <v>2</v>
      </c>
      <c r="B8" s="1" t="str">
        <f ca="1">IF(RIGHT(livegame!J12)="0","",RIGHT(livegame!J12))</f>
        <v>2</v>
      </c>
      <c r="C8" s="1" t="str">
        <f ca="1">IF(RIGHT(livegame!K12)="0","",RIGHT(livegame!K12))</f>
        <v>2</v>
      </c>
      <c r="D8" s="1" t="str">
        <f ca="1">IF(RIGHT(livegame!L12)="0","",RIGHT(livegame!L12))</f>
        <v>2</v>
      </c>
      <c r="E8" s="1" t="str">
        <f ca="1">IF(RIGHT(livegame!M12)="0","",RIGHT(livegame!M12))</f>
        <v>2</v>
      </c>
      <c r="F8" s="1" t="str">
        <f ca="1">IF(RIGHT(livegame!N12)="0","",RIGHT(livegame!N12))</f>
        <v>2</v>
      </c>
      <c r="G8" s="1" t="str">
        <f ca="1">IF(RIGHT(livegame!O12)="0","",RIGHT(livegame!O12))</f>
        <v>2</v>
      </c>
      <c r="H8" s="1" t="str">
        <f ca="1">IF(RIGHT(livegame!P12)="0","",RIGHT(livegame!P12))</f>
        <v>2</v>
      </c>
    </row>
    <row r="9" spans="1:10" ht="20" customHeight="1"/>
    <row r="10" spans="1:10" ht="20" customHeight="1"/>
    <row r="11" spans="1:10" ht="20" customHeight="1"/>
    <row r="12" spans="1:10" ht="20" customHeight="1"/>
    <row r="13" spans="1:10" ht="20" customHeight="1"/>
    <row r="14" spans="1:10" ht="20" customHeight="1"/>
    <row r="15" spans="1:10" ht="20" customHeight="1"/>
    <row r="16" spans="1:10" ht="20" customHeight="1"/>
    <row r="17" ht="20" customHeight="1"/>
  </sheetData>
  <conditionalFormatting sqref="J1 A1:H8">
    <cfRule type="containsText" dxfId="19" priority="2" stopIfTrue="1" operator="containsText" text="TRUE">
      <formula>NOT(ISERROR(SEARCH("TRUE",A1)))</formula>
    </cfRule>
  </conditionalFormatting>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5A1D-752B-FF41-BEF0-8F11B00508D0}">
  <dimension ref="A1:BA52"/>
  <sheetViews>
    <sheetView zoomScale="83" zoomScaleNormal="143" workbookViewId="0">
      <selection activeCell="I9" sqref="I9"/>
    </sheetView>
  </sheetViews>
  <sheetFormatPr baseColWidth="10" defaultRowHeight="16"/>
  <cols>
    <col min="1" max="8" width="2.83203125" customWidth="1"/>
    <col min="10" max="17" width="2.83203125" customWidth="1"/>
    <col min="19" max="26" width="2.83203125" customWidth="1"/>
    <col min="28" max="35" width="2.83203125" customWidth="1"/>
    <col min="37" max="44" width="2.83203125" customWidth="1"/>
    <col min="46" max="53" width="2.83203125" customWidth="1"/>
  </cols>
  <sheetData>
    <row r="1" spans="1:18">
      <c r="A1" s="1" t="b">
        <v>1</v>
      </c>
      <c r="B1" s="1" t="b">
        <v>0</v>
      </c>
      <c r="C1" s="1" t="b">
        <v>1</v>
      </c>
      <c r="D1" s="1" t="b">
        <v>1</v>
      </c>
      <c r="E1" s="1" t="b">
        <v>0</v>
      </c>
      <c r="F1" s="1" t="b">
        <v>1</v>
      </c>
      <c r="G1" s="1" t="b">
        <v>1</v>
      </c>
      <c r="H1" s="1" t="b">
        <v>0</v>
      </c>
    </row>
    <row r="2" spans="1:18">
      <c r="A2" s="1" t="b">
        <v>1</v>
      </c>
      <c r="B2" s="1" t="b">
        <v>0</v>
      </c>
      <c r="C2" s="1" t="b">
        <v>0</v>
      </c>
      <c r="D2" s="1" t="b">
        <v>1</v>
      </c>
      <c r="E2" s="1" t="b">
        <v>0</v>
      </c>
      <c r="F2" s="1" t="b">
        <v>0</v>
      </c>
      <c r="G2" s="1" t="b">
        <v>0</v>
      </c>
      <c r="H2" s="1" t="b">
        <v>1</v>
      </c>
    </row>
    <row r="3" spans="1:18">
      <c r="A3" s="1" t="b">
        <v>1</v>
      </c>
      <c r="B3" s="1" t="b">
        <v>0</v>
      </c>
      <c r="C3" s="1" t="b">
        <v>1</v>
      </c>
      <c r="D3" s="1" t="b">
        <v>0</v>
      </c>
      <c r="E3" s="1" t="b">
        <v>1</v>
      </c>
      <c r="F3" s="1" t="b">
        <v>1</v>
      </c>
      <c r="G3" s="1" t="b">
        <v>0</v>
      </c>
      <c r="H3" s="1" t="b">
        <v>1</v>
      </c>
    </row>
    <row r="4" spans="1:18">
      <c r="A4" s="1" t="b">
        <v>1</v>
      </c>
      <c r="B4" s="1" t="b">
        <v>0</v>
      </c>
      <c r="C4" s="1" t="b">
        <v>0</v>
      </c>
      <c r="D4" s="1" t="b">
        <v>1</v>
      </c>
      <c r="E4" s="1" t="b">
        <v>0</v>
      </c>
      <c r="F4" s="1" t="b">
        <v>1</v>
      </c>
      <c r="G4" s="1" t="b">
        <v>1</v>
      </c>
      <c r="H4" s="1" t="b">
        <v>1</v>
      </c>
    </row>
    <row r="5" spans="1:18">
      <c r="A5" s="1" t="b">
        <v>1</v>
      </c>
      <c r="B5" s="1" t="b">
        <v>0</v>
      </c>
      <c r="C5" s="1" t="b">
        <v>0</v>
      </c>
      <c r="D5" s="1" t="b">
        <v>1</v>
      </c>
      <c r="E5" s="1" t="b">
        <v>0</v>
      </c>
      <c r="F5" s="1" t="b">
        <v>0</v>
      </c>
      <c r="G5" s="1" t="b">
        <v>0</v>
      </c>
      <c r="H5" s="1" t="b">
        <v>1</v>
      </c>
    </row>
    <row r="6" spans="1:18">
      <c r="A6" s="1" t="b">
        <v>1</v>
      </c>
      <c r="B6" s="1" t="b">
        <v>1</v>
      </c>
      <c r="C6" s="1" t="b">
        <v>0</v>
      </c>
      <c r="D6" s="1" t="b">
        <v>0</v>
      </c>
      <c r="E6" s="1" t="b">
        <v>0</v>
      </c>
      <c r="F6" s="1" t="b">
        <v>1</v>
      </c>
      <c r="G6" s="1" t="b">
        <v>0</v>
      </c>
      <c r="H6" s="1" t="b">
        <v>1</v>
      </c>
    </row>
    <row r="7" spans="1:18">
      <c r="A7" s="1" t="b">
        <v>1</v>
      </c>
      <c r="B7" s="1" t="b">
        <v>0</v>
      </c>
      <c r="C7" s="1" t="b">
        <v>0</v>
      </c>
      <c r="D7" s="1" t="b">
        <v>0</v>
      </c>
      <c r="E7" s="1" t="b">
        <v>0</v>
      </c>
      <c r="F7" s="1" t="b">
        <v>1</v>
      </c>
      <c r="G7" s="1" t="b">
        <v>1</v>
      </c>
      <c r="H7" s="1" t="b">
        <v>1</v>
      </c>
    </row>
    <row r="8" spans="1:18">
      <c r="A8" s="1" t="b">
        <v>0</v>
      </c>
      <c r="B8" s="1" t="b">
        <v>1</v>
      </c>
      <c r="C8" s="1" t="b">
        <v>1</v>
      </c>
      <c r="D8" s="1" t="b">
        <v>0</v>
      </c>
      <c r="E8" s="1" t="b">
        <v>1</v>
      </c>
      <c r="F8" s="1" t="b">
        <v>1</v>
      </c>
      <c r="G8" s="1" t="b">
        <v>1</v>
      </c>
      <c r="H8" s="1" t="b">
        <v>0</v>
      </c>
    </row>
    <row r="9" spans="1:18" ht="16" customHeight="1">
      <c r="I9" s="2" t="b">
        <f ca="1">COUNTIF(S19:Z26,TRUE)=1</f>
        <v>0</v>
      </c>
      <c r="R9">
        <f ca="1">COUNTIF(S19:Z26,TRUE)</f>
        <v>0</v>
      </c>
    </row>
    <row r="10" spans="1:18" ht="16" customHeight="1">
      <c r="J10" s="1" t="b">
        <f t="shared" ref="J10:Q17" ca="1" si="0">IF($I$9,A1,J10)</f>
        <v>1</v>
      </c>
      <c r="K10" s="1" t="b">
        <f t="shared" ca="1" si="0"/>
        <v>0</v>
      </c>
      <c r="L10" s="1" t="b">
        <f t="shared" ca="1" si="0"/>
        <v>1</v>
      </c>
      <c r="M10" s="1" t="b">
        <f t="shared" ca="1" si="0"/>
        <v>1</v>
      </c>
      <c r="N10" s="1" t="b">
        <f t="shared" ca="1" si="0"/>
        <v>0</v>
      </c>
      <c r="O10" s="1" t="b">
        <f t="shared" ca="1" si="0"/>
        <v>1</v>
      </c>
      <c r="P10" s="1" t="b">
        <f t="shared" ca="1" si="0"/>
        <v>1</v>
      </c>
      <c r="Q10" s="1" t="b">
        <f t="shared" ca="1" si="0"/>
        <v>0</v>
      </c>
    </row>
    <row r="11" spans="1:18" ht="16" customHeight="1">
      <c r="J11" s="1" t="b">
        <f t="shared" ca="1" si="0"/>
        <v>1</v>
      </c>
      <c r="K11" s="1" t="b">
        <f t="shared" ca="1" si="0"/>
        <v>0</v>
      </c>
      <c r="L11" s="1" t="b">
        <f t="shared" ca="1" si="0"/>
        <v>0</v>
      </c>
      <c r="M11" s="1" t="b">
        <f t="shared" ca="1" si="0"/>
        <v>1</v>
      </c>
      <c r="N11" s="1" t="b">
        <f t="shared" ca="1" si="0"/>
        <v>0</v>
      </c>
      <c r="O11" s="1" t="b">
        <f t="shared" ca="1" si="0"/>
        <v>0</v>
      </c>
      <c r="P11" s="1" t="b">
        <f t="shared" ca="1" si="0"/>
        <v>0</v>
      </c>
      <c r="Q11" s="1" t="b">
        <f t="shared" ca="1" si="0"/>
        <v>1</v>
      </c>
    </row>
    <row r="12" spans="1:18" ht="16" customHeight="1">
      <c r="J12" s="1" t="b">
        <f t="shared" ca="1" si="0"/>
        <v>1</v>
      </c>
      <c r="K12" s="1" t="b">
        <f t="shared" ca="1" si="0"/>
        <v>0</v>
      </c>
      <c r="L12" s="1" t="b">
        <f t="shared" ca="1" si="0"/>
        <v>1</v>
      </c>
      <c r="M12" s="1" t="b">
        <f t="shared" ca="1" si="0"/>
        <v>0</v>
      </c>
      <c r="N12" s="1" t="b">
        <f t="shared" ca="1" si="0"/>
        <v>1</v>
      </c>
      <c r="O12" s="1" t="b">
        <f t="shared" ca="1" si="0"/>
        <v>1</v>
      </c>
      <c r="P12" s="1" t="b">
        <f t="shared" ca="1" si="0"/>
        <v>0</v>
      </c>
      <c r="Q12" s="1" t="b">
        <f t="shared" ca="1" si="0"/>
        <v>1</v>
      </c>
    </row>
    <row r="13" spans="1:18" ht="16" customHeight="1">
      <c r="J13" s="1" t="b">
        <f t="shared" ca="1" si="0"/>
        <v>1</v>
      </c>
      <c r="K13" s="1" t="b">
        <f t="shared" ca="1" si="0"/>
        <v>0</v>
      </c>
      <c r="L13" s="1" t="b">
        <f t="shared" ca="1" si="0"/>
        <v>0</v>
      </c>
      <c r="M13" s="1" t="b">
        <f t="shared" ca="1" si="0"/>
        <v>1</v>
      </c>
      <c r="N13" s="1" t="b">
        <f t="shared" ca="1" si="0"/>
        <v>0</v>
      </c>
      <c r="O13" s="1" t="b">
        <f t="shared" ca="1" si="0"/>
        <v>1</v>
      </c>
      <c r="P13" s="1" t="b">
        <f t="shared" ca="1" si="0"/>
        <v>1</v>
      </c>
      <c r="Q13" s="1" t="b">
        <f t="shared" ca="1" si="0"/>
        <v>1</v>
      </c>
    </row>
    <row r="14" spans="1:18" ht="16" customHeight="1">
      <c r="J14" s="1" t="b">
        <f t="shared" ca="1" si="0"/>
        <v>1</v>
      </c>
      <c r="K14" s="1" t="b">
        <f t="shared" ca="1" si="0"/>
        <v>0</v>
      </c>
      <c r="L14" s="1" t="b">
        <f t="shared" ca="1" si="0"/>
        <v>0</v>
      </c>
      <c r="M14" s="1" t="b">
        <f t="shared" ca="1" si="0"/>
        <v>1</v>
      </c>
      <c r="N14" s="1" t="b">
        <f t="shared" ca="1" si="0"/>
        <v>0</v>
      </c>
      <c r="O14" s="1" t="b">
        <f t="shared" ca="1" si="0"/>
        <v>0</v>
      </c>
      <c r="P14" s="1" t="b">
        <f t="shared" ca="1" si="0"/>
        <v>0</v>
      </c>
      <c r="Q14" s="1" t="b">
        <f t="shared" ca="1" si="0"/>
        <v>1</v>
      </c>
    </row>
    <row r="15" spans="1:18" ht="16" customHeight="1">
      <c r="J15" s="1" t="b">
        <f t="shared" ca="1" si="0"/>
        <v>1</v>
      </c>
      <c r="K15" s="1" t="b">
        <f t="shared" ca="1" si="0"/>
        <v>1</v>
      </c>
      <c r="L15" s="1" t="b">
        <f t="shared" ca="1" si="0"/>
        <v>0</v>
      </c>
      <c r="M15" s="1" t="b">
        <f t="shared" ca="1" si="0"/>
        <v>0</v>
      </c>
      <c r="N15" s="1" t="b">
        <f t="shared" ca="1" si="0"/>
        <v>0</v>
      </c>
      <c r="O15" s="1" t="b">
        <f t="shared" ca="1" si="0"/>
        <v>1</v>
      </c>
      <c r="P15" s="1" t="b">
        <f t="shared" ca="1" si="0"/>
        <v>0</v>
      </c>
      <c r="Q15" s="1" t="b">
        <f t="shared" ca="1" si="0"/>
        <v>1</v>
      </c>
    </row>
    <row r="16" spans="1:18" ht="16" customHeight="1">
      <c r="J16" s="1" t="b">
        <f t="shared" ca="1" si="0"/>
        <v>1</v>
      </c>
      <c r="K16" s="1" t="b">
        <f t="shared" ca="1" si="0"/>
        <v>0</v>
      </c>
      <c r="L16" s="1" t="b">
        <f t="shared" ca="1" si="0"/>
        <v>0</v>
      </c>
      <c r="M16" s="1" t="b">
        <f t="shared" ca="1" si="0"/>
        <v>0</v>
      </c>
      <c r="N16" s="1" t="b">
        <f t="shared" ca="1" si="0"/>
        <v>0</v>
      </c>
      <c r="O16" s="1" t="b">
        <f t="shared" ca="1" si="0"/>
        <v>1</v>
      </c>
      <c r="P16" s="1" t="b">
        <f t="shared" ca="1" si="0"/>
        <v>1</v>
      </c>
      <c r="Q16" s="1" t="b">
        <f t="shared" ca="1" si="0"/>
        <v>1</v>
      </c>
    </row>
    <row r="17" spans="10:36" ht="20" customHeight="1">
      <c r="J17" s="1" t="b">
        <f t="shared" ca="1" si="0"/>
        <v>0</v>
      </c>
      <c r="K17" s="1" t="b">
        <f t="shared" ca="1" si="0"/>
        <v>1</v>
      </c>
      <c r="L17" s="1" t="b">
        <f t="shared" ca="1" si="0"/>
        <v>1</v>
      </c>
      <c r="M17" s="1" t="b">
        <f t="shared" ca="1" si="0"/>
        <v>0</v>
      </c>
      <c r="N17" s="1" t="b">
        <f t="shared" ca="1" si="0"/>
        <v>1</v>
      </c>
      <c r="O17" s="1" t="b">
        <f t="shared" ca="1" si="0"/>
        <v>1</v>
      </c>
      <c r="P17" s="1" t="b">
        <f t="shared" ca="1" si="0"/>
        <v>1</v>
      </c>
      <c r="Q17" s="1" t="b">
        <f t="shared" ca="1" si="0"/>
        <v>0</v>
      </c>
    </row>
    <row r="18" spans="10:36" ht="16" customHeight="1"/>
    <row r="19" spans="10:36" ht="16" customHeight="1">
      <c r="S19" s="1" t="b">
        <f t="shared" ref="S19:Z26" ca="1" si="1">_xlfn.XOR(A1,J10)</f>
        <v>0</v>
      </c>
      <c r="T19" s="1" t="b">
        <f t="shared" ca="1" si="1"/>
        <v>0</v>
      </c>
      <c r="U19" s="1" t="b">
        <f t="shared" ca="1" si="1"/>
        <v>0</v>
      </c>
      <c r="V19" s="1" t="b">
        <f t="shared" ca="1" si="1"/>
        <v>0</v>
      </c>
      <c r="W19" s="1" t="b">
        <f t="shared" ca="1" si="1"/>
        <v>0</v>
      </c>
      <c r="X19" s="1" t="b">
        <f t="shared" ca="1" si="1"/>
        <v>0</v>
      </c>
      <c r="Y19" s="1" t="b">
        <f t="shared" ca="1" si="1"/>
        <v>0</v>
      </c>
      <c r="Z19" s="1" t="b">
        <f t="shared" ca="1" si="1"/>
        <v>0</v>
      </c>
    </row>
    <row r="20" spans="10:36" ht="16" customHeight="1">
      <c r="S20" s="1" t="b">
        <f t="shared" ca="1" si="1"/>
        <v>0</v>
      </c>
      <c r="T20" s="1" t="b">
        <f t="shared" ca="1" si="1"/>
        <v>0</v>
      </c>
      <c r="U20" s="1" t="b">
        <f t="shared" ca="1" si="1"/>
        <v>0</v>
      </c>
      <c r="V20" s="1" t="b">
        <f t="shared" ca="1" si="1"/>
        <v>0</v>
      </c>
      <c r="W20" s="1" t="b">
        <f t="shared" ca="1" si="1"/>
        <v>0</v>
      </c>
      <c r="X20" s="1" t="b">
        <f t="shared" ca="1" si="1"/>
        <v>0</v>
      </c>
      <c r="Y20" s="1" t="b">
        <f t="shared" ca="1" si="1"/>
        <v>0</v>
      </c>
      <c r="Z20" s="1" t="b">
        <f t="shared" ca="1" si="1"/>
        <v>0</v>
      </c>
    </row>
    <row r="21" spans="10:36" ht="16" customHeight="1">
      <c r="S21" s="1" t="b">
        <f t="shared" ca="1" si="1"/>
        <v>0</v>
      </c>
      <c r="T21" s="1" t="b">
        <f t="shared" ca="1" si="1"/>
        <v>0</v>
      </c>
      <c r="U21" s="1" t="b">
        <f t="shared" ca="1" si="1"/>
        <v>0</v>
      </c>
      <c r="V21" s="1" t="b">
        <f t="shared" ca="1" si="1"/>
        <v>0</v>
      </c>
      <c r="W21" s="1" t="b">
        <f t="shared" ca="1" si="1"/>
        <v>0</v>
      </c>
      <c r="X21" s="1" t="b">
        <f t="shared" ca="1" si="1"/>
        <v>0</v>
      </c>
      <c r="Y21" s="1" t="b">
        <f t="shared" ca="1" si="1"/>
        <v>0</v>
      </c>
      <c r="Z21" s="1" t="b">
        <f t="shared" ca="1" si="1"/>
        <v>0</v>
      </c>
    </row>
    <row r="22" spans="10:36" ht="16" customHeight="1">
      <c r="S22" s="1" t="b">
        <f t="shared" ca="1" si="1"/>
        <v>0</v>
      </c>
      <c r="T22" s="1" t="b">
        <f t="shared" ca="1" si="1"/>
        <v>0</v>
      </c>
      <c r="U22" s="1" t="b">
        <f t="shared" ca="1" si="1"/>
        <v>0</v>
      </c>
      <c r="V22" s="1" t="b">
        <f t="shared" ca="1" si="1"/>
        <v>0</v>
      </c>
      <c r="W22" s="1" t="b">
        <f t="shared" ca="1" si="1"/>
        <v>0</v>
      </c>
      <c r="X22" s="1" t="b">
        <f t="shared" ca="1" si="1"/>
        <v>0</v>
      </c>
      <c r="Y22" s="1" t="b">
        <f t="shared" ca="1" si="1"/>
        <v>0</v>
      </c>
      <c r="Z22" s="1" t="b">
        <f t="shared" ca="1" si="1"/>
        <v>0</v>
      </c>
    </row>
    <row r="23" spans="10:36" ht="16" customHeight="1">
      <c r="S23" s="1" t="b">
        <f t="shared" ca="1" si="1"/>
        <v>0</v>
      </c>
      <c r="T23" s="1" t="b">
        <f t="shared" ca="1" si="1"/>
        <v>0</v>
      </c>
      <c r="U23" s="1" t="b">
        <f t="shared" ca="1" si="1"/>
        <v>0</v>
      </c>
      <c r="V23" s="1" t="b">
        <f t="shared" ca="1" si="1"/>
        <v>0</v>
      </c>
      <c r="W23" s="1" t="b">
        <f t="shared" ca="1" si="1"/>
        <v>0</v>
      </c>
      <c r="X23" s="1" t="b">
        <f t="shared" ca="1" si="1"/>
        <v>0</v>
      </c>
      <c r="Y23" s="1" t="b">
        <f t="shared" ca="1" si="1"/>
        <v>0</v>
      </c>
      <c r="Z23" s="1" t="b">
        <f t="shared" ca="1" si="1"/>
        <v>0</v>
      </c>
    </row>
    <row r="24" spans="10:36" ht="16" customHeight="1">
      <c r="S24" s="1" t="b">
        <f t="shared" ca="1" si="1"/>
        <v>0</v>
      </c>
      <c r="T24" s="1" t="b">
        <f t="shared" ca="1" si="1"/>
        <v>0</v>
      </c>
      <c r="U24" s="1" t="b">
        <f t="shared" ca="1" si="1"/>
        <v>0</v>
      </c>
      <c r="V24" s="1" t="b">
        <f t="shared" ca="1" si="1"/>
        <v>0</v>
      </c>
      <c r="W24" s="1" t="b">
        <f t="shared" ca="1" si="1"/>
        <v>0</v>
      </c>
      <c r="X24" s="1" t="b">
        <f t="shared" ca="1" si="1"/>
        <v>0</v>
      </c>
      <c r="Y24" s="1" t="b">
        <f t="shared" ca="1" si="1"/>
        <v>0</v>
      </c>
      <c r="Z24" s="1" t="b">
        <f t="shared" ca="1" si="1"/>
        <v>0</v>
      </c>
    </row>
    <row r="25" spans="10:36" ht="16" customHeight="1">
      <c r="S25" s="1" t="b">
        <f t="shared" ca="1" si="1"/>
        <v>0</v>
      </c>
      <c r="T25" s="1" t="b">
        <f t="shared" ca="1" si="1"/>
        <v>0</v>
      </c>
      <c r="U25" s="1" t="b">
        <f t="shared" ca="1" si="1"/>
        <v>0</v>
      </c>
      <c r="V25" s="1" t="b">
        <f t="shared" ca="1" si="1"/>
        <v>0</v>
      </c>
      <c r="W25" s="1" t="b">
        <f t="shared" ca="1" si="1"/>
        <v>0</v>
      </c>
      <c r="X25" s="1" t="b">
        <f t="shared" ca="1" si="1"/>
        <v>0</v>
      </c>
      <c r="Y25" s="1" t="b">
        <f t="shared" ca="1" si="1"/>
        <v>0</v>
      </c>
      <c r="Z25" s="1" t="b">
        <f t="shared" ca="1" si="1"/>
        <v>0</v>
      </c>
    </row>
    <row r="26" spans="10:36" ht="16" customHeight="1">
      <c r="S26" s="1" t="b">
        <f t="shared" ca="1" si="1"/>
        <v>0</v>
      </c>
      <c r="T26" s="1" t="b">
        <f t="shared" ca="1" si="1"/>
        <v>0</v>
      </c>
      <c r="U26" s="1" t="b">
        <f t="shared" ca="1" si="1"/>
        <v>0</v>
      </c>
      <c r="V26" s="1" t="b">
        <f t="shared" ca="1" si="1"/>
        <v>0</v>
      </c>
      <c r="W26" s="1" t="b">
        <f t="shared" ca="1" si="1"/>
        <v>0</v>
      </c>
      <c r="X26" s="1" t="b">
        <f t="shared" ca="1" si="1"/>
        <v>0</v>
      </c>
      <c r="Y26" s="1" t="b">
        <f t="shared" ca="1" si="1"/>
        <v>0</v>
      </c>
      <c r="Z26" s="1" t="b">
        <f t="shared" ca="1" si="1"/>
        <v>0</v>
      </c>
    </row>
    <row r="27" spans="10:36">
      <c r="AJ27">
        <f ca="1">COUNTIF(AK37:AR44,TRUE)</f>
        <v>0</v>
      </c>
    </row>
    <row r="28" spans="10:36">
      <c r="AB28" s="1" t="b">
        <f ca="1">IF($I$9,AB28,A1)</f>
        <v>1</v>
      </c>
      <c r="AC28" s="1" t="b">
        <f t="shared" ref="AC28:AI35" ca="1" si="2">IF($I$9,AC28,B1)</f>
        <v>0</v>
      </c>
      <c r="AD28" s="1" t="b">
        <f t="shared" ca="1" si="2"/>
        <v>1</v>
      </c>
      <c r="AE28" s="1" t="b">
        <f t="shared" ca="1" si="2"/>
        <v>1</v>
      </c>
      <c r="AF28" s="1" t="b">
        <f t="shared" ca="1" si="2"/>
        <v>0</v>
      </c>
      <c r="AG28" s="1" t="b">
        <f t="shared" ca="1" si="2"/>
        <v>1</v>
      </c>
      <c r="AH28" s="1" t="b">
        <f t="shared" ca="1" si="2"/>
        <v>1</v>
      </c>
      <c r="AI28" s="1" t="b">
        <f t="shared" ca="1" si="2"/>
        <v>0</v>
      </c>
    </row>
    <row r="29" spans="10:36">
      <c r="AB29" s="1" t="b">
        <f t="shared" ref="AB29:AB35" ca="1" si="3">IF($I$9,AB29,A2)</f>
        <v>1</v>
      </c>
      <c r="AC29" s="1" t="b">
        <f t="shared" ca="1" si="2"/>
        <v>0</v>
      </c>
      <c r="AD29" s="1" t="b">
        <f t="shared" ca="1" si="2"/>
        <v>0</v>
      </c>
      <c r="AE29" s="1" t="b">
        <f t="shared" ca="1" si="2"/>
        <v>1</v>
      </c>
      <c r="AF29" s="1" t="b">
        <f t="shared" ca="1" si="2"/>
        <v>0</v>
      </c>
      <c r="AG29" s="1" t="b">
        <f t="shared" ca="1" si="2"/>
        <v>0</v>
      </c>
      <c r="AH29" s="1" t="b">
        <f t="shared" ca="1" si="2"/>
        <v>0</v>
      </c>
      <c r="AI29" s="1" t="b">
        <f t="shared" ca="1" si="2"/>
        <v>1</v>
      </c>
    </row>
    <row r="30" spans="10:36">
      <c r="AB30" s="1" t="b">
        <f t="shared" ca="1" si="3"/>
        <v>1</v>
      </c>
      <c r="AC30" s="1" t="b">
        <f t="shared" ca="1" si="2"/>
        <v>0</v>
      </c>
      <c r="AD30" s="1" t="b">
        <f t="shared" ca="1" si="2"/>
        <v>1</v>
      </c>
      <c r="AE30" s="1" t="b">
        <f t="shared" ca="1" si="2"/>
        <v>0</v>
      </c>
      <c r="AF30" s="1" t="b">
        <f t="shared" ca="1" si="2"/>
        <v>1</v>
      </c>
      <c r="AG30" s="1" t="b">
        <f t="shared" ca="1" si="2"/>
        <v>1</v>
      </c>
      <c r="AH30" s="1" t="b">
        <f t="shared" ca="1" si="2"/>
        <v>0</v>
      </c>
      <c r="AI30" s="1" t="b">
        <f t="shared" ca="1" si="2"/>
        <v>1</v>
      </c>
    </row>
    <row r="31" spans="10:36">
      <c r="AB31" s="1" t="b">
        <f t="shared" ca="1" si="3"/>
        <v>1</v>
      </c>
      <c r="AC31" s="1" t="b">
        <f t="shared" ca="1" si="2"/>
        <v>0</v>
      </c>
      <c r="AD31" s="1" t="b">
        <f t="shared" ca="1" si="2"/>
        <v>0</v>
      </c>
      <c r="AE31" s="1" t="b">
        <f t="shared" ca="1" si="2"/>
        <v>1</v>
      </c>
      <c r="AF31" s="1" t="b">
        <f t="shared" ca="1" si="2"/>
        <v>0</v>
      </c>
      <c r="AG31" s="1" t="b">
        <f t="shared" ca="1" si="2"/>
        <v>1</v>
      </c>
      <c r="AH31" s="1" t="b">
        <f t="shared" ca="1" si="2"/>
        <v>1</v>
      </c>
      <c r="AI31" s="1" t="b">
        <f t="shared" ca="1" si="2"/>
        <v>1</v>
      </c>
    </row>
    <row r="32" spans="10:36">
      <c r="AB32" s="1" t="b">
        <f t="shared" ca="1" si="3"/>
        <v>1</v>
      </c>
      <c r="AC32" s="1" t="b">
        <f t="shared" ca="1" si="2"/>
        <v>0</v>
      </c>
      <c r="AD32" s="1" t="b">
        <f t="shared" ca="1" si="2"/>
        <v>0</v>
      </c>
      <c r="AE32" s="1" t="b">
        <f t="shared" ca="1" si="2"/>
        <v>1</v>
      </c>
      <c r="AF32" s="1" t="b">
        <f t="shared" ca="1" si="2"/>
        <v>0</v>
      </c>
      <c r="AG32" s="1" t="b">
        <f t="shared" ca="1" si="2"/>
        <v>0</v>
      </c>
      <c r="AH32" s="1" t="b">
        <f t="shared" ca="1" si="2"/>
        <v>0</v>
      </c>
      <c r="AI32" s="1" t="b">
        <f t="shared" ca="1" si="2"/>
        <v>1</v>
      </c>
    </row>
    <row r="33" spans="28:53">
      <c r="AB33" s="1" t="b">
        <f t="shared" ca="1" si="3"/>
        <v>1</v>
      </c>
      <c r="AC33" s="1" t="b">
        <f t="shared" ca="1" si="2"/>
        <v>1</v>
      </c>
      <c r="AD33" s="1" t="b">
        <f t="shared" ca="1" si="2"/>
        <v>0</v>
      </c>
      <c r="AE33" s="1" t="b">
        <f t="shared" ca="1" si="2"/>
        <v>0</v>
      </c>
      <c r="AF33" s="1" t="b">
        <f t="shared" ca="1" si="2"/>
        <v>0</v>
      </c>
      <c r="AG33" s="1" t="b">
        <f t="shared" ca="1" si="2"/>
        <v>1</v>
      </c>
      <c r="AH33" s="1" t="b">
        <f t="shared" ca="1" si="2"/>
        <v>0</v>
      </c>
      <c r="AI33" s="1" t="b">
        <f t="shared" ca="1" si="2"/>
        <v>1</v>
      </c>
    </row>
    <row r="34" spans="28:53">
      <c r="AB34" s="1" t="b">
        <f t="shared" ca="1" si="3"/>
        <v>1</v>
      </c>
      <c r="AC34" s="1" t="b">
        <f t="shared" ca="1" si="2"/>
        <v>0</v>
      </c>
      <c r="AD34" s="1" t="b">
        <f t="shared" ca="1" si="2"/>
        <v>0</v>
      </c>
      <c r="AE34" s="1" t="b">
        <f t="shared" ca="1" si="2"/>
        <v>0</v>
      </c>
      <c r="AF34" s="1" t="b">
        <f t="shared" ca="1" si="2"/>
        <v>0</v>
      </c>
      <c r="AG34" s="1" t="b">
        <f t="shared" ca="1" si="2"/>
        <v>1</v>
      </c>
      <c r="AH34" s="1" t="b">
        <f t="shared" ca="1" si="2"/>
        <v>1</v>
      </c>
      <c r="AI34" s="1" t="b">
        <f t="shared" ca="1" si="2"/>
        <v>1</v>
      </c>
    </row>
    <row r="35" spans="28:53">
      <c r="AB35" s="1" t="b">
        <f t="shared" ca="1" si="3"/>
        <v>0</v>
      </c>
      <c r="AC35" s="1" t="b">
        <f t="shared" ca="1" si="2"/>
        <v>1</v>
      </c>
      <c r="AD35" s="1" t="b">
        <f t="shared" ca="1" si="2"/>
        <v>1</v>
      </c>
      <c r="AE35" s="1" t="b">
        <f t="shared" ca="1" si="2"/>
        <v>0</v>
      </c>
      <c r="AF35" s="1" t="b">
        <f t="shared" ca="1" si="2"/>
        <v>1</v>
      </c>
      <c r="AG35" s="1" t="b">
        <f t="shared" ca="1" si="2"/>
        <v>1</v>
      </c>
      <c r="AH35" s="1" t="b">
        <f t="shared" ca="1" si="2"/>
        <v>1</v>
      </c>
      <c r="AI35" s="1" t="b">
        <f t="shared" ca="1" si="2"/>
        <v>0</v>
      </c>
    </row>
    <row r="37" spans="28:53">
      <c r="AK37" s="1" t="b">
        <f ca="1">_xlfn.XOR(A1,AB28)</f>
        <v>0</v>
      </c>
      <c r="AL37" s="1" t="b">
        <f t="shared" ref="AL37:AR44" ca="1" si="4">_xlfn.XOR(B1,AC28)</f>
        <v>0</v>
      </c>
      <c r="AM37" s="1" t="b">
        <f t="shared" ca="1" si="4"/>
        <v>0</v>
      </c>
      <c r="AN37" s="1" t="b">
        <f t="shared" ca="1" si="4"/>
        <v>0</v>
      </c>
      <c r="AO37" s="1" t="b">
        <f t="shared" ca="1" si="4"/>
        <v>0</v>
      </c>
      <c r="AP37" s="1" t="b">
        <f t="shared" ca="1" si="4"/>
        <v>0</v>
      </c>
      <c r="AQ37" s="1" t="b">
        <f t="shared" ca="1" si="4"/>
        <v>0</v>
      </c>
      <c r="AR37" s="1" t="b">
        <f t="shared" ca="1" si="4"/>
        <v>0</v>
      </c>
    </row>
    <row r="38" spans="28:53">
      <c r="AK38" s="1" t="b">
        <f t="shared" ref="AK38:AK44" ca="1" si="5">_xlfn.XOR(A2,AB29)</f>
        <v>0</v>
      </c>
      <c r="AL38" s="1" t="b">
        <f t="shared" ca="1" si="4"/>
        <v>0</v>
      </c>
      <c r="AM38" s="1" t="b">
        <f t="shared" ca="1" si="4"/>
        <v>0</v>
      </c>
      <c r="AN38" s="1" t="b">
        <f t="shared" ca="1" si="4"/>
        <v>0</v>
      </c>
      <c r="AO38" s="1" t="b">
        <f t="shared" ca="1" si="4"/>
        <v>0</v>
      </c>
      <c r="AP38" s="1" t="b">
        <f t="shared" ca="1" si="4"/>
        <v>0</v>
      </c>
      <c r="AQ38" s="1" t="b">
        <f t="shared" ca="1" si="4"/>
        <v>0</v>
      </c>
      <c r="AR38" s="1" t="b">
        <f t="shared" ca="1" si="4"/>
        <v>0</v>
      </c>
    </row>
    <row r="39" spans="28:53">
      <c r="AK39" s="1" t="b">
        <f t="shared" ca="1" si="5"/>
        <v>0</v>
      </c>
      <c r="AL39" s="1" t="b">
        <f t="shared" ca="1" si="4"/>
        <v>0</v>
      </c>
      <c r="AM39" s="1" t="b">
        <f t="shared" ca="1" si="4"/>
        <v>0</v>
      </c>
      <c r="AN39" s="1" t="b">
        <f t="shared" ca="1" si="4"/>
        <v>0</v>
      </c>
      <c r="AO39" s="1" t="b">
        <f t="shared" ca="1" si="4"/>
        <v>0</v>
      </c>
      <c r="AP39" s="1" t="b">
        <f t="shared" ca="1" si="4"/>
        <v>0</v>
      </c>
      <c r="AQ39" s="1" t="b">
        <f t="shared" ca="1" si="4"/>
        <v>0</v>
      </c>
      <c r="AR39" s="1" t="b">
        <f t="shared" ca="1" si="4"/>
        <v>0</v>
      </c>
    </row>
    <row r="40" spans="28:53">
      <c r="AK40" s="1" t="b">
        <f t="shared" ca="1" si="5"/>
        <v>0</v>
      </c>
      <c r="AL40" s="1" t="b">
        <f t="shared" ca="1" si="4"/>
        <v>0</v>
      </c>
      <c r="AM40" s="1" t="b">
        <f t="shared" ca="1" si="4"/>
        <v>0</v>
      </c>
      <c r="AN40" s="1" t="b">
        <f t="shared" ca="1" si="4"/>
        <v>0</v>
      </c>
      <c r="AO40" s="1" t="b">
        <f t="shared" ca="1" si="4"/>
        <v>0</v>
      </c>
      <c r="AP40" s="1" t="b">
        <f t="shared" ca="1" si="4"/>
        <v>0</v>
      </c>
      <c r="AQ40" s="1" t="b">
        <f t="shared" ca="1" si="4"/>
        <v>0</v>
      </c>
      <c r="AR40" s="1" t="b">
        <f t="shared" ca="1" si="4"/>
        <v>0</v>
      </c>
    </row>
    <row r="41" spans="28:53">
      <c r="AK41" s="1" t="b">
        <f t="shared" ca="1" si="5"/>
        <v>0</v>
      </c>
      <c r="AL41" s="1" t="b">
        <f t="shared" ca="1" si="4"/>
        <v>0</v>
      </c>
      <c r="AM41" s="1" t="b">
        <f t="shared" ca="1" si="4"/>
        <v>0</v>
      </c>
      <c r="AN41" s="1" t="b">
        <f t="shared" ca="1" si="4"/>
        <v>0</v>
      </c>
      <c r="AO41" s="1" t="b">
        <f t="shared" ca="1" si="4"/>
        <v>0</v>
      </c>
      <c r="AP41" s="1" t="b">
        <f t="shared" ca="1" si="4"/>
        <v>0</v>
      </c>
      <c r="AQ41" s="1" t="b">
        <f t="shared" ca="1" si="4"/>
        <v>0</v>
      </c>
      <c r="AR41" s="1" t="b">
        <f t="shared" ca="1" si="4"/>
        <v>0</v>
      </c>
    </row>
    <row r="42" spans="28:53">
      <c r="AK42" s="1" t="b">
        <f t="shared" ca="1" si="5"/>
        <v>0</v>
      </c>
      <c r="AL42" s="1" t="b">
        <f t="shared" ca="1" si="4"/>
        <v>0</v>
      </c>
      <c r="AM42" s="1" t="b">
        <f t="shared" ca="1" si="4"/>
        <v>0</v>
      </c>
      <c r="AN42" s="1" t="b">
        <f t="shared" ca="1" si="4"/>
        <v>0</v>
      </c>
      <c r="AO42" s="1" t="b">
        <f t="shared" ca="1" si="4"/>
        <v>0</v>
      </c>
      <c r="AP42" s="1" t="b">
        <f t="shared" ca="1" si="4"/>
        <v>0</v>
      </c>
      <c r="AQ42" s="1" t="b">
        <f t="shared" ca="1" si="4"/>
        <v>0</v>
      </c>
      <c r="AR42" s="1" t="b">
        <f t="shared" ca="1" si="4"/>
        <v>0</v>
      </c>
    </row>
    <row r="43" spans="28:53">
      <c r="AK43" s="1" t="b">
        <f t="shared" ca="1" si="5"/>
        <v>0</v>
      </c>
      <c r="AL43" s="1" t="b">
        <f t="shared" ca="1" si="4"/>
        <v>0</v>
      </c>
      <c r="AM43" s="1" t="b">
        <f t="shared" ca="1" si="4"/>
        <v>0</v>
      </c>
      <c r="AN43" s="1" t="b">
        <f t="shared" ca="1" si="4"/>
        <v>0</v>
      </c>
      <c r="AO43" s="1" t="b">
        <f t="shared" ca="1" si="4"/>
        <v>0</v>
      </c>
      <c r="AP43" s="1" t="b">
        <f t="shared" ca="1" si="4"/>
        <v>0</v>
      </c>
      <c r="AQ43" s="1" t="b">
        <f t="shared" ca="1" si="4"/>
        <v>0</v>
      </c>
      <c r="AR43" s="1" t="b">
        <f t="shared" ca="1" si="4"/>
        <v>0</v>
      </c>
    </row>
    <row r="44" spans="28:53">
      <c r="AK44" s="1" t="b">
        <f t="shared" ca="1" si="5"/>
        <v>0</v>
      </c>
      <c r="AL44" s="1" t="b">
        <f t="shared" ca="1" si="4"/>
        <v>0</v>
      </c>
      <c r="AM44" s="1" t="b">
        <f t="shared" ca="1" si="4"/>
        <v>0</v>
      </c>
      <c r="AN44" s="1" t="b">
        <f t="shared" ca="1" si="4"/>
        <v>0</v>
      </c>
      <c r="AO44" s="1" t="b">
        <f t="shared" ca="1" si="4"/>
        <v>0</v>
      </c>
      <c r="AP44" s="1" t="b">
        <f t="shared" ca="1" si="4"/>
        <v>0</v>
      </c>
      <c r="AQ44" s="1" t="b">
        <f t="shared" ca="1" si="4"/>
        <v>0</v>
      </c>
      <c r="AR44" s="1" t="b">
        <f t="shared" ca="1" si="4"/>
        <v>0</v>
      </c>
    </row>
    <row r="45" spans="28:53">
      <c r="AT45" s="1" t="b">
        <f ca="1">_xlfn.XOR(AK37,S19)</f>
        <v>0</v>
      </c>
      <c r="AU45" s="1" t="b">
        <f t="shared" ref="AU45:BA52" ca="1" si="6">_xlfn.XOR(AL37,T19)</f>
        <v>0</v>
      </c>
      <c r="AV45" s="1" t="b">
        <f t="shared" ca="1" si="6"/>
        <v>0</v>
      </c>
      <c r="AW45" s="1" t="b">
        <f t="shared" ca="1" si="6"/>
        <v>0</v>
      </c>
      <c r="AX45" s="1" t="b">
        <f t="shared" ca="1" si="6"/>
        <v>0</v>
      </c>
      <c r="AY45" s="1" t="b">
        <f t="shared" ca="1" si="6"/>
        <v>0</v>
      </c>
      <c r="AZ45" s="1" t="b">
        <f t="shared" ca="1" si="6"/>
        <v>0</v>
      </c>
      <c r="BA45" s="1" t="b">
        <f t="shared" ca="1" si="6"/>
        <v>0</v>
      </c>
    </row>
    <row r="46" spans="28:53">
      <c r="AT46" s="1" t="b">
        <f t="shared" ref="AT46:AT52" ca="1" si="7">_xlfn.XOR(AK38,S20)</f>
        <v>0</v>
      </c>
      <c r="AU46" s="1" t="b">
        <f t="shared" ca="1" si="6"/>
        <v>0</v>
      </c>
      <c r="AV46" s="1" t="b">
        <f t="shared" ca="1" si="6"/>
        <v>0</v>
      </c>
      <c r="AW46" s="1" t="b">
        <f t="shared" ca="1" si="6"/>
        <v>0</v>
      </c>
      <c r="AX46" s="1" t="b">
        <f t="shared" ca="1" si="6"/>
        <v>0</v>
      </c>
      <c r="AY46" s="1" t="b">
        <f t="shared" ca="1" si="6"/>
        <v>0</v>
      </c>
      <c r="AZ46" s="1" t="b">
        <f t="shared" ca="1" si="6"/>
        <v>0</v>
      </c>
      <c r="BA46" s="1" t="b">
        <f t="shared" ca="1" si="6"/>
        <v>0</v>
      </c>
    </row>
    <row r="47" spans="28:53">
      <c r="AT47" s="1" t="b">
        <f t="shared" ca="1" si="7"/>
        <v>0</v>
      </c>
      <c r="AU47" s="1" t="b">
        <f t="shared" ca="1" si="6"/>
        <v>0</v>
      </c>
      <c r="AV47" s="1" t="b">
        <f t="shared" ca="1" si="6"/>
        <v>0</v>
      </c>
      <c r="AW47" s="1" t="b">
        <f t="shared" ca="1" si="6"/>
        <v>0</v>
      </c>
      <c r="AX47" s="1" t="b">
        <f t="shared" ca="1" si="6"/>
        <v>0</v>
      </c>
      <c r="AY47" s="1" t="b">
        <f t="shared" ca="1" si="6"/>
        <v>0</v>
      </c>
      <c r="AZ47" s="1" t="b">
        <f t="shared" ca="1" si="6"/>
        <v>0</v>
      </c>
      <c r="BA47" s="1" t="b">
        <f t="shared" ca="1" si="6"/>
        <v>0</v>
      </c>
    </row>
    <row r="48" spans="28:53">
      <c r="AT48" s="1" t="b">
        <f t="shared" ca="1" si="7"/>
        <v>0</v>
      </c>
      <c r="AU48" s="1" t="b">
        <f t="shared" ca="1" si="6"/>
        <v>0</v>
      </c>
      <c r="AV48" s="1" t="b">
        <f t="shared" ca="1" si="6"/>
        <v>0</v>
      </c>
      <c r="AW48" s="1" t="b">
        <f t="shared" ca="1" si="6"/>
        <v>0</v>
      </c>
      <c r="AX48" s="1" t="b">
        <f t="shared" ca="1" si="6"/>
        <v>0</v>
      </c>
      <c r="AY48" s="1" t="b">
        <f t="shared" ca="1" si="6"/>
        <v>0</v>
      </c>
      <c r="AZ48" s="1" t="b">
        <f t="shared" ca="1" si="6"/>
        <v>0</v>
      </c>
      <c r="BA48" s="1" t="b">
        <f t="shared" ca="1" si="6"/>
        <v>0</v>
      </c>
    </row>
    <row r="49" spans="46:53">
      <c r="AT49" s="1" t="b">
        <f t="shared" ca="1" si="7"/>
        <v>0</v>
      </c>
      <c r="AU49" s="1" t="b">
        <f t="shared" ca="1" si="6"/>
        <v>0</v>
      </c>
      <c r="AV49" s="1" t="b">
        <f t="shared" ca="1" si="6"/>
        <v>0</v>
      </c>
      <c r="AW49" s="1" t="b">
        <f t="shared" ca="1" si="6"/>
        <v>0</v>
      </c>
      <c r="AX49" s="1" t="b">
        <f t="shared" ca="1" si="6"/>
        <v>0</v>
      </c>
      <c r="AY49" s="1" t="b">
        <f t="shared" ca="1" si="6"/>
        <v>0</v>
      </c>
      <c r="AZ49" s="1" t="b">
        <f t="shared" ca="1" si="6"/>
        <v>0</v>
      </c>
      <c r="BA49" s="1" t="b">
        <f t="shared" ca="1" si="6"/>
        <v>0</v>
      </c>
    </row>
    <row r="50" spans="46:53">
      <c r="AT50" s="1" t="b">
        <f t="shared" ca="1" si="7"/>
        <v>0</v>
      </c>
      <c r="AU50" s="1" t="b">
        <f t="shared" ca="1" si="6"/>
        <v>0</v>
      </c>
      <c r="AV50" s="1" t="b">
        <f t="shared" ca="1" si="6"/>
        <v>0</v>
      </c>
      <c r="AW50" s="1" t="b">
        <f t="shared" ca="1" si="6"/>
        <v>0</v>
      </c>
      <c r="AX50" s="1" t="b">
        <f t="shared" ca="1" si="6"/>
        <v>0</v>
      </c>
      <c r="AY50" s="1" t="b">
        <f t="shared" ca="1" si="6"/>
        <v>0</v>
      </c>
      <c r="AZ50" s="1" t="b">
        <f t="shared" ca="1" si="6"/>
        <v>0</v>
      </c>
      <c r="BA50" s="1" t="b">
        <f t="shared" ca="1" si="6"/>
        <v>0</v>
      </c>
    </row>
    <row r="51" spans="46:53">
      <c r="AT51" s="1" t="b">
        <f t="shared" ca="1" si="7"/>
        <v>0</v>
      </c>
      <c r="AU51" s="1" t="b">
        <f t="shared" ca="1" si="6"/>
        <v>0</v>
      </c>
      <c r="AV51" s="1" t="b">
        <f t="shared" ca="1" si="6"/>
        <v>0</v>
      </c>
      <c r="AW51" s="1" t="b">
        <f t="shared" ca="1" si="6"/>
        <v>0</v>
      </c>
      <c r="AX51" s="1" t="b">
        <f t="shared" ca="1" si="6"/>
        <v>0</v>
      </c>
      <c r="AY51" s="1" t="b">
        <f t="shared" ca="1" si="6"/>
        <v>0</v>
      </c>
      <c r="AZ51" s="1" t="b">
        <f t="shared" ca="1" si="6"/>
        <v>0</v>
      </c>
      <c r="BA51" s="1" t="b">
        <f t="shared" ca="1" si="6"/>
        <v>0</v>
      </c>
    </row>
    <row r="52" spans="46:53">
      <c r="AT52" s="1" t="b">
        <f t="shared" ca="1" si="7"/>
        <v>0</v>
      </c>
      <c r="AU52" s="1" t="b">
        <f t="shared" ca="1" si="6"/>
        <v>0</v>
      </c>
      <c r="AV52" s="1" t="b">
        <f t="shared" ca="1" si="6"/>
        <v>0</v>
      </c>
      <c r="AW52" s="1" t="b">
        <f t="shared" ca="1" si="6"/>
        <v>0</v>
      </c>
      <c r="AX52" s="1" t="b">
        <f t="shared" ca="1" si="6"/>
        <v>0</v>
      </c>
      <c r="AY52" s="1" t="b">
        <f t="shared" ca="1" si="6"/>
        <v>0</v>
      </c>
      <c r="AZ52" s="1" t="b">
        <f t="shared" ca="1" si="6"/>
        <v>0</v>
      </c>
      <c r="BA52" s="1" t="b">
        <f t="shared" ca="1" si="6"/>
        <v>0</v>
      </c>
    </row>
  </sheetData>
  <conditionalFormatting sqref="A1:H8">
    <cfRule type="containsText" dxfId="18" priority="11" stopIfTrue="1" operator="containsText" text="TRUE">
      <formula>NOT(ISERROR(SEARCH("TRUE",A1)))</formula>
    </cfRule>
  </conditionalFormatting>
  <conditionalFormatting sqref="J10:Q17">
    <cfRule type="containsText" dxfId="17" priority="10" stopIfTrue="1" operator="containsText" text="TRUE">
      <formula>NOT(ISERROR(SEARCH("TRUE",J10)))</formula>
    </cfRule>
  </conditionalFormatting>
  <conditionalFormatting sqref="S19:Z26">
    <cfRule type="containsText" dxfId="16" priority="9" stopIfTrue="1" operator="containsText" text="TRUE">
      <formula>NOT(ISERROR(SEARCH("TRUE",S19)))</formula>
    </cfRule>
  </conditionalFormatting>
  <conditionalFormatting sqref="AB26:AI35">
    <cfRule type="containsText" dxfId="15" priority="2" stopIfTrue="1" operator="containsText" text="TRUE">
      <formula>NOT(ISERROR(SEARCH("TRUE",AB26)))</formula>
    </cfRule>
  </conditionalFormatting>
  <conditionalFormatting sqref="AK35:AR44">
    <cfRule type="containsText" dxfId="14" priority="1" stopIfTrue="1" operator="containsText" text="TRUE">
      <formula>NOT(ISERROR(SEARCH("TRUE",AK35)))</formula>
    </cfRule>
  </conditionalFormatting>
  <conditionalFormatting sqref="AT45:BA52">
    <cfRule type="containsText" dxfId="13" priority="5" stopIfTrue="1" operator="containsText" text="TRUE">
      <formula>NOT(ISERROR(SEARCH("TRUE",AT45)))</formula>
    </cfRule>
  </conditionalFormatting>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7BD83-0F49-714E-B80A-EED270C30D9C}">
  <dimension ref="A1:AJ110"/>
  <sheetViews>
    <sheetView topLeftCell="J52" zoomScale="114" workbookViewId="0">
      <selection activeCell="Q88" sqref="Q88"/>
    </sheetView>
  </sheetViews>
  <sheetFormatPr baseColWidth="10" defaultRowHeight="16"/>
  <cols>
    <col min="1" max="8" width="2.83203125" customWidth="1"/>
    <col min="15" max="22" width="10.83203125" customWidth="1"/>
    <col min="23" max="32" width="2.83203125" customWidth="1"/>
    <col min="33" max="33" width="10.83203125" customWidth="1"/>
    <col min="34" max="34" width="10.6640625" customWidth="1"/>
    <col min="35" max="35" width="12" customWidth="1"/>
    <col min="36" max="36" width="7.33203125" customWidth="1"/>
    <col min="37" max="44" width="2.83203125" customWidth="1"/>
  </cols>
  <sheetData>
    <row r="1" spans="1:22">
      <c r="A1" s="3" t="b">
        <f ca="1">'input handling'!AT45</f>
        <v>0</v>
      </c>
      <c r="B1" s="3" t="b">
        <f ca="1">'input handling'!AU45</f>
        <v>0</v>
      </c>
      <c r="C1" s="3" t="b">
        <f ca="1">'input handling'!AV45</f>
        <v>0</v>
      </c>
      <c r="D1" s="3" t="b">
        <f ca="1">'input handling'!AW45</f>
        <v>0</v>
      </c>
      <c r="E1" s="3" t="b">
        <f ca="1">'input handling'!AX45</f>
        <v>0</v>
      </c>
      <c r="F1" s="3" t="b">
        <f ca="1">'input handling'!AY45</f>
        <v>0</v>
      </c>
      <c r="G1" s="3" t="b">
        <f ca="1">'input handling'!AZ45</f>
        <v>0</v>
      </c>
      <c r="H1" s="3" t="b">
        <f ca="1">'input handling'!BA45</f>
        <v>0</v>
      </c>
      <c r="I1">
        <f>livegame!R16</f>
        <v>1</v>
      </c>
      <c r="J1" t="s">
        <v>1</v>
      </c>
    </row>
    <row r="2" spans="1:22">
      <c r="A2" s="3" t="b">
        <f ca="1">'input handling'!AT46</f>
        <v>0</v>
      </c>
      <c r="B2" s="3" t="b">
        <f ca="1">'input handling'!AU46</f>
        <v>0</v>
      </c>
      <c r="C2" s="3" t="b">
        <f ca="1">'input handling'!AV46</f>
        <v>0</v>
      </c>
      <c r="D2" s="3" t="b">
        <f ca="1">'input handling'!AW46</f>
        <v>0</v>
      </c>
      <c r="E2" s="3" t="b">
        <f ca="1">'input handling'!AX46</f>
        <v>0</v>
      </c>
      <c r="F2" s="3" t="b">
        <f ca="1">'input handling'!AY46</f>
        <v>0</v>
      </c>
      <c r="G2" s="3" t="b">
        <f ca="1">'input handling'!AZ46</f>
        <v>0</v>
      </c>
      <c r="H2" s="3" t="b">
        <f ca="1">'input handling'!BA46</f>
        <v>0</v>
      </c>
      <c r="J2" t="s">
        <v>18</v>
      </c>
    </row>
    <row r="3" spans="1:22">
      <c r="A3" s="3" t="b">
        <f ca="1">'input handling'!AT47</f>
        <v>0</v>
      </c>
      <c r="B3" s="3" t="b">
        <f ca="1">'input handling'!AU47</f>
        <v>0</v>
      </c>
      <c r="C3" s="3" t="b">
        <f ca="1">'input handling'!AV47</f>
        <v>0</v>
      </c>
      <c r="D3" s="3" t="b">
        <f ca="1">'input handling'!AW47</f>
        <v>0</v>
      </c>
      <c r="E3" s="3" t="b">
        <f ca="1">'input handling'!AX47</f>
        <v>0</v>
      </c>
      <c r="F3" s="3" t="b">
        <f ca="1">'input handling'!AY47</f>
        <v>0</v>
      </c>
      <c r="G3" s="3" t="b">
        <f ca="1">'input handling'!AZ47</f>
        <v>0</v>
      </c>
      <c r="H3" s="3" t="b">
        <f ca="1">'input handling'!BA47</f>
        <v>0</v>
      </c>
      <c r="J3" t="s">
        <v>17</v>
      </c>
    </row>
    <row r="4" spans="1:22">
      <c r="A4" s="3" t="b">
        <f ca="1">'input handling'!AT48</f>
        <v>0</v>
      </c>
      <c r="B4" s="3" t="b">
        <f ca="1">'input handling'!AU48</f>
        <v>0</v>
      </c>
      <c r="C4" s="3" t="b">
        <f ca="1">'input handling'!AV48</f>
        <v>0</v>
      </c>
      <c r="D4" s="3" t="b">
        <f ca="1">'input handling'!AW48</f>
        <v>0</v>
      </c>
      <c r="E4" s="3" t="b">
        <f ca="1">'input handling'!AX48</f>
        <v>0</v>
      </c>
      <c r="F4" s="3" t="b">
        <f ca="1">'input handling'!AY48</f>
        <v>0</v>
      </c>
      <c r="G4" s="3" t="b">
        <f ca="1">'input handling'!AZ48</f>
        <v>0</v>
      </c>
      <c r="H4" s="3" t="b">
        <f ca="1">'input handling'!BA48</f>
        <v>0</v>
      </c>
    </row>
    <row r="5" spans="1:22">
      <c r="A5" s="3" t="b">
        <f ca="1">'input handling'!AT49</f>
        <v>0</v>
      </c>
      <c r="B5" s="3" t="b">
        <f ca="1">'input handling'!AU49</f>
        <v>0</v>
      </c>
      <c r="C5" s="3" t="b">
        <f ca="1">'input handling'!AV49</f>
        <v>0</v>
      </c>
      <c r="D5" s="3" t="b">
        <f ca="1">'input handling'!AW49</f>
        <v>0</v>
      </c>
      <c r="E5" s="3" t="b">
        <f ca="1">'input handling'!AX49</f>
        <v>0</v>
      </c>
      <c r="F5" s="3" t="b">
        <f ca="1">'input handling'!AY49</f>
        <v>0</v>
      </c>
      <c r="G5" s="3" t="b">
        <f ca="1">'input handling'!AZ49</f>
        <v>0</v>
      </c>
      <c r="H5" s="3" t="b">
        <f ca="1">'input handling'!BA49</f>
        <v>0</v>
      </c>
    </row>
    <row r="6" spans="1:22">
      <c r="A6" s="3" t="b">
        <f ca="1">'input handling'!AT50</f>
        <v>0</v>
      </c>
      <c r="B6" s="3" t="b">
        <f ca="1">'input handling'!AU50</f>
        <v>0</v>
      </c>
      <c r="C6" s="3" t="b">
        <f ca="1">'input handling'!AV50</f>
        <v>0</v>
      </c>
      <c r="D6" s="3" t="b">
        <f ca="1">'input handling'!AW50</f>
        <v>0</v>
      </c>
      <c r="E6" s="3" t="b">
        <f ca="1">'input handling'!AX50</f>
        <v>0</v>
      </c>
      <c r="F6" s="3" t="b">
        <f ca="1">'input handling'!AY50</f>
        <v>0</v>
      </c>
      <c r="G6" s="3" t="b">
        <f ca="1">'input handling'!AZ50</f>
        <v>0</v>
      </c>
      <c r="H6" s="3" t="b">
        <f ca="1">'input handling'!BA50</f>
        <v>0</v>
      </c>
    </row>
    <row r="7" spans="1:22">
      <c r="A7" s="3" t="b">
        <f ca="1">'input handling'!AT51</f>
        <v>0</v>
      </c>
      <c r="B7" s="3" t="b">
        <f ca="1">'input handling'!AU51</f>
        <v>0</v>
      </c>
      <c r="C7" s="3" t="b">
        <f ca="1">'input handling'!AV51</f>
        <v>0</v>
      </c>
      <c r="D7" s="3" t="b">
        <f ca="1">'input handling'!AW51</f>
        <v>0</v>
      </c>
      <c r="E7" s="3" t="b">
        <f ca="1">'input handling'!AX51</f>
        <v>0</v>
      </c>
      <c r="F7" s="3" t="b">
        <f ca="1">'input handling'!AY51</f>
        <v>0</v>
      </c>
      <c r="G7" s="3" t="b">
        <f ca="1">'input handling'!AZ51</f>
        <v>0</v>
      </c>
      <c r="H7" s="3" t="b">
        <f ca="1">'input handling'!BA51</f>
        <v>0</v>
      </c>
    </row>
    <row r="8" spans="1:22">
      <c r="A8" s="3" t="b">
        <f ca="1">'input handling'!AT52</f>
        <v>0</v>
      </c>
      <c r="B8" s="3" t="b">
        <f ca="1">'input handling'!AU52</f>
        <v>0</v>
      </c>
      <c r="C8" s="3" t="b">
        <f ca="1">'input handling'!AV52</f>
        <v>0</v>
      </c>
      <c r="D8" s="3" t="b">
        <f ca="1">'input handling'!AW52</f>
        <v>0</v>
      </c>
      <c r="E8" s="3" t="b">
        <f ca="1">'input handling'!AX52</f>
        <v>0</v>
      </c>
      <c r="F8" s="3" t="b">
        <f ca="1">'input handling'!AY52</f>
        <v>0</v>
      </c>
      <c r="G8" s="3" t="b">
        <f ca="1">'input handling'!AZ52</f>
        <v>0</v>
      </c>
      <c r="H8" s="3" t="b">
        <f ca="1">'input handling'!BA52</f>
        <v>0</v>
      </c>
    </row>
    <row r="9" spans="1:22" ht="20" customHeight="1">
      <c r="I9" t="s">
        <v>14</v>
      </c>
      <c r="J9" t="e" cm="1">
        <f t="array" aca="1" ref="J9" ca="1">_xlfn.LET(_xlpm.r,A1:H8, _xlpm.a,ADDRESS(_xlfn.SEQUENCE(ROWS(_xlpm.r)),_xlfn.SEQUENCE(,COLUMNS(_xlpm.r)),4), _xlfn.XLOOKUP(TRUE, _xlfn.TOCOL(_xlpm.r), _xlfn.TOCOL(_xlpm.a)))</f>
        <v>#N/A</v>
      </c>
      <c r="K9" s="11"/>
    </row>
    <row r="10" spans="1:22" ht="20" customHeight="1">
      <c r="J10" t="s">
        <v>13</v>
      </c>
      <c r="K10" t="e" cm="1">
        <f t="array" aca="1" ref="K10" ca="1">INDIRECT("livegame!" &amp;
CHAR(CODE("A") + (CODE(UPPER(LEFT(J9,1))) - 65) + COLUMN($I$5) - 1) &amp;
(VALUE(MID(J9,2,99)) + ROW($I$5) - 1)
)</f>
        <v>#N/A</v>
      </c>
    </row>
    <row r="11" spans="1:22" ht="20" customHeight="1">
      <c r="K11" t="s">
        <v>12</v>
      </c>
      <c r="L11" t="b">
        <f ca="1">AND(NOT(ISERR(SEARCH(I1, K10))),NOT(ISNA(SEARCH(I1, K10))))</f>
        <v>0</v>
      </c>
    </row>
    <row r="12" spans="1:22" ht="20" customHeight="1">
      <c r="L12" t="s">
        <v>15</v>
      </c>
      <c r="M12" t="str">
        <f ca="1">IF(OR(livegame!C1,NOT(livegame!S17="")),"",IF(L11,J9,M12))</f>
        <v/>
      </c>
    </row>
    <row r="13" spans="1:22" ht="20" customHeight="1">
      <c r="M13" t="s">
        <v>16</v>
      </c>
      <c r="N13" t="str" cm="1">
        <f t="array" aca="1" ref="N13" ca="1">IFERROR(INDIRECT("livegame!" &amp;
CHAR(CODE("A") + (CODE(UPPER(LEFT(M12,1))) - 65) + COLUMN($I$5) - 1) &amp;
(VALUE(MID(M12,2,99)) + ROW($I$5) - 1)
),"")</f>
        <v/>
      </c>
      <c r="T13" s="5"/>
    </row>
    <row r="14" spans="1:22" ht="20" customHeight="1">
      <c r="O14" t="s">
        <v>20</v>
      </c>
    </row>
    <row r="15" spans="1:22" ht="20" customHeight="1">
      <c r="O15" s="7" t="e" cm="1">
        <f t="array" aca="1" ref="O15:V22" ca="1">_xlfn.LET(_xlpm.files,"ABCDEFGH",_xlpm.bf,FIND(UPPER(LEFT(M12,1)),_xlpm.files),_xlpm.br,--MID(M12,2,99),_xlpm.me,VALUE(RIGHT(N13,1)),_xlpm.board,piecetype!A1:H8,_xlpm.r,_xlfn.SEQUENCE(8,,1,1)+0*_xlfn.SEQUENCE(1,8,1,1),_xlpm.c,_xlfn.SEQUENCE(1,8,1,1)+0*_xlfn.SEQUENCE(8,,1,1),_xlpm.dr,_xlpm.r-_xlpm.br,_xlpm.dc,_xlpm.c-_xlpm.bf,_xlpm.dist,ABS(_xlpm.dr),_xlpm.self,(_xlpm.dr=0)*(_xlpm.dc=0),_xlpm.isDiag,ABS(_xlpm.dr)=ABS(_xlpm.dc),_xlpm.cand,_xlpm.isDiag*NOT(_xlpm.self),_xlpm.dir,IF(_xlpm.cand,IF(_xlpm.dr&lt;0,IF(_xlpm.dc&gt;0,1,2),IF(_xlpm.dc&gt;0,3,4)),0),_xlpm.hasPiece,(_xlpm.board&lt;&gt;"")*NOT(_xlpm.self),_xlpm.block,_xlfn.MAP(_xlpm.dir,_xlfn.LAMBDA(_xlpm.d,IF(_xlpm.d=0,0,MIN(IF((_xlpm.dir=_xlpm.d)*_xlpm.hasPiece,_xlpm.dist,9))))),_xlpm.reachable,_xlpm.cand*IF(_xlpm.block=0,1,_xlpm.dist&lt;=_xlpm.block),_xlpm.dest,IF(_xlpm.board="",0,VALUE(_xlpm.board)),_xlpm.legal,_xlpm.reachable*((_xlpm.dest=0)+((_xlpm.dest&lt;&gt;0)*(_xlpm.dest&lt;&gt;_xlpm.me))),_xlpm.legal=1)</f>
        <v>#VALUE!</v>
      </c>
      <c r="P15" s="7" t="e">
        <f ca="1"/>
        <v>#VALUE!</v>
      </c>
      <c r="Q15" s="7" t="e">
        <f ca="1"/>
        <v>#VALUE!</v>
      </c>
      <c r="R15" s="7" t="e">
        <f ca="1"/>
        <v>#VALUE!</v>
      </c>
      <c r="S15" s="7" t="e">
        <f ca="1"/>
        <v>#VALUE!</v>
      </c>
      <c r="T15" s="7" t="e">
        <f ca="1"/>
        <v>#VALUE!</v>
      </c>
      <c r="U15" s="7" t="e">
        <f ca="1"/>
        <v>#VALUE!</v>
      </c>
      <c r="V15" s="7" t="e">
        <f ca="1"/>
        <v>#VALUE!</v>
      </c>
    </row>
    <row r="16" spans="1:22" ht="20" customHeight="1">
      <c r="M16" t="e">
        <f ca="1">_xlfn.LET(_xlpm.pos,$M$12,"pos="&amp;_xlpm.pos&amp;"  row="&amp;(CODE(UPPER(LEFT(_xlpm.pos,1)))-64)&amp;"  col="&amp;VALUE(MID(_xlpm.pos,2,2)))</f>
        <v>#VALUE!</v>
      </c>
      <c r="N16" s="6"/>
      <c r="O16" s="7" t="e">
        <f ca="1"/>
        <v>#VALUE!</v>
      </c>
      <c r="P16" s="7" t="e">
        <f ca="1"/>
        <v>#VALUE!</v>
      </c>
      <c r="Q16" s="7" t="e">
        <f ca="1"/>
        <v>#VALUE!</v>
      </c>
      <c r="R16" s="7" t="e">
        <f ca="1"/>
        <v>#VALUE!</v>
      </c>
      <c r="S16" s="7" t="e">
        <f ca="1"/>
        <v>#VALUE!</v>
      </c>
      <c r="T16" s="7" t="e">
        <f ca="1"/>
        <v>#VALUE!</v>
      </c>
      <c r="U16" s="7" t="e">
        <f ca="1"/>
        <v>#VALUE!</v>
      </c>
      <c r="V16" s="7" t="e">
        <f ca="1"/>
        <v>#VALUE!</v>
      </c>
    </row>
    <row r="17" spans="15:22" ht="20" customHeight="1">
      <c r="O17" s="7" t="e">
        <f ca="1"/>
        <v>#VALUE!</v>
      </c>
      <c r="P17" s="7" t="e">
        <f ca="1"/>
        <v>#VALUE!</v>
      </c>
      <c r="Q17" s="7" t="e">
        <f ca="1"/>
        <v>#VALUE!</v>
      </c>
      <c r="R17" s="7" t="e">
        <f ca="1"/>
        <v>#VALUE!</v>
      </c>
      <c r="S17" s="7" t="e">
        <f ca="1"/>
        <v>#VALUE!</v>
      </c>
      <c r="T17" s="7" t="e">
        <f ca="1"/>
        <v>#VALUE!</v>
      </c>
      <c r="U17" s="7" t="e">
        <f ca="1"/>
        <v>#VALUE!</v>
      </c>
      <c r="V17" s="7" t="e">
        <f ca="1"/>
        <v>#VALUE!</v>
      </c>
    </row>
    <row r="18" spans="15:22">
      <c r="O18" s="7" t="e">
        <f ca="1"/>
        <v>#VALUE!</v>
      </c>
      <c r="P18" s="7" t="e">
        <f ca="1"/>
        <v>#VALUE!</v>
      </c>
      <c r="Q18" s="7" t="e">
        <f ca="1"/>
        <v>#VALUE!</v>
      </c>
      <c r="R18" s="7" t="e">
        <f ca="1"/>
        <v>#VALUE!</v>
      </c>
      <c r="S18" s="7" t="e">
        <f ca="1"/>
        <v>#VALUE!</v>
      </c>
      <c r="T18" s="7" t="e">
        <f ca="1"/>
        <v>#VALUE!</v>
      </c>
      <c r="U18" s="7" t="e">
        <f ca="1"/>
        <v>#VALUE!</v>
      </c>
      <c r="V18" s="7" t="e">
        <f ca="1"/>
        <v>#VALUE!</v>
      </c>
    </row>
    <row r="19" spans="15:22">
      <c r="O19" s="7" t="e">
        <f ca="1"/>
        <v>#VALUE!</v>
      </c>
      <c r="P19" s="7" t="e">
        <f ca="1"/>
        <v>#VALUE!</v>
      </c>
      <c r="Q19" s="7" t="e">
        <f ca="1"/>
        <v>#VALUE!</v>
      </c>
      <c r="R19" s="7" t="e">
        <f ca="1"/>
        <v>#VALUE!</v>
      </c>
      <c r="S19" s="7" t="e">
        <f ca="1"/>
        <v>#VALUE!</v>
      </c>
      <c r="T19" s="7" t="e">
        <f ca="1"/>
        <v>#VALUE!</v>
      </c>
      <c r="U19" s="7" t="e">
        <f ca="1"/>
        <v>#VALUE!</v>
      </c>
      <c r="V19" s="7" t="e">
        <f ca="1"/>
        <v>#VALUE!</v>
      </c>
    </row>
    <row r="20" spans="15:22">
      <c r="O20" s="7" t="e">
        <f ca="1"/>
        <v>#VALUE!</v>
      </c>
      <c r="P20" s="7" t="e">
        <f ca="1"/>
        <v>#VALUE!</v>
      </c>
      <c r="Q20" s="7" t="e">
        <f ca="1"/>
        <v>#VALUE!</v>
      </c>
      <c r="R20" s="7" t="e">
        <f ca="1"/>
        <v>#VALUE!</v>
      </c>
      <c r="S20" s="7" t="e">
        <f ca="1"/>
        <v>#VALUE!</v>
      </c>
      <c r="T20" s="7" t="e">
        <f ca="1"/>
        <v>#VALUE!</v>
      </c>
      <c r="U20" s="7" t="e">
        <f ca="1"/>
        <v>#VALUE!</v>
      </c>
      <c r="V20" s="7" t="e">
        <f ca="1"/>
        <v>#VALUE!</v>
      </c>
    </row>
    <row r="21" spans="15:22">
      <c r="O21" s="7" t="e">
        <f ca="1"/>
        <v>#VALUE!</v>
      </c>
      <c r="P21" s="7" t="e">
        <f ca="1"/>
        <v>#VALUE!</v>
      </c>
      <c r="Q21" s="7" t="e">
        <f ca="1"/>
        <v>#VALUE!</v>
      </c>
      <c r="R21" s="7" t="e">
        <f ca="1"/>
        <v>#VALUE!</v>
      </c>
      <c r="S21" s="7" t="e">
        <f ca="1"/>
        <v>#VALUE!</v>
      </c>
      <c r="T21" s="7" t="e">
        <f ca="1"/>
        <v>#VALUE!</v>
      </c>
      <c r="U21" s="7" t="e">
        <f ca="1"/>
        <v>#VALUE!</v>
      </c>
      <c r="V21" s="7" t="e">
        <f ca="1"/>
        <v>#VALUE!</v>
      </c>
    </row>
    <row r="22" spans="15:22">
      <c r="O22" s="7" t="e">
        <f ca="1"/>
        <v>#VALUE!</v>
      </c>
      <c r="P22" s="7" t="e">
        <f ca="1"/>
        <v>#VALUE!</v>
      </c>
      <c r="Q22" s="7" t="e">
        <f ca="1"/>
        <v>#VALUE!</v>
      </c>
      <c r="R22" s="7" t="e">
        <f ca="1"/>
        <v>#VALUE!</v>
      </c>
      <c r="S22" s="7" t="e">
        <f ca="1"/>
        <v>#VALUE!</v>
      </c>
      <c r="T22" s="7" t="e">
        <f ca="1"/>
        <v>#VALUE!</v>
      </c>
      <c r="U22" s="7" t="e">
        <f ca="1"/>
        <v>#VALUE!</v>
      </c>
      <c r="V22" s="7" t="e">
        <f ca="1"/>
        <v>#VALUE!</v>
      </c>
    </row>
    <row r="25" spans="15:22">
      <c r="O25" t="s">
        <v>19</v>
      </c>
    </row>
    <row r="26" spans="15:22">
      <c r="O26" s="7" t="e" cm="1">
        <f t="array" aca="1" ref="O26:V33" ca="1">_xlfn.LET(_xlpm.files,"ABCDEFGH",_xlpm.bf,FIND(UPPER(LEFT(M12,1)),_xlpm.files),_xlpm.br,--MID(M12,2,99),_xlpm.me,VALUE(RIGHT(N13,1)),_xlpm.board,piecetype!A1:H8,_xlpm.r,_xlfn.SEQUENCE(8,,1,1)+0*_xlfn.SEQUENCE(1,8,1,1),_xlpm.c,_xlfn.SEQUENCE(1,8,1,1)+0*_xlfn.SEQUENCE(8,,1,1),_xlpm.dr,_xlpm.r-_xlpm.br,_xlpm.dc,_xlpm.c-_xlpm.bf,_xlpm.dist,ABS(_xlpm.dr)+ABS(_xlpm.dc),_xlpm.self,(_xlpm.dr=0)*(_xlpm.dc=0),_xlpm.isLine,((_xlpm.dr=0)+(_xlpm.dc=0))*NOT(_xlpm.self),_xlpm.cand,_xlpm.isLine,_xlpm.dir,IF(_xlpm.cand,IF(_xlpm.dr=0,IF(_xlpm.dc&gt;0,1,2),IF(_xlpm.dr&gt;0,3,4)),0),_xlpm.hasPiece,(_xlpm.board&lt;&gt;"")*NOT(_xlpm.self),_xlpm.block,_xlfn.MAP(_xlpm.dir,_xlfn.LAMBDA(_xlpm.d,IF(_xlpm.d=0,0,MIN(IF((_xlpm.dir=_xlpm.d)*_xlpm.hasPiece,_xlpm.dist,9))))),_xlpm.reachable,_xlpm.cand*IF(_xlpm.block=0,1,_xlpm.dist&lt;=_xlpm.block),_xlpm.dest,IF(_xlpm.board="",0,VALUE(_xlpm.board)),_xlpm.legal,_xlpm.reachable*((_xlpm.dest=0)+((_xlpm.dest&lt;&gt;0)*(_xlpm.dest&lt;&gt;_xlpm.me))),_xlpm.legal=1)</f>
        <v>#VALUE!</v>
      </c>
      <c r="P26" s="7" t="e">
        <f ca="1"/>
        <v>#VALUE!</v>
      </c>
      <c r="Q26" s="7" t="e">
        <f ca="1"/>
        <v>#VALUE!</v>
      </c>
      <c r="R26" s="7" t="e">
        <f ca="1"/>
        <v>#VALUE!</v>
      </c>
      <c r="S26" s="7" t="e">
        <f ca="1"/>
        <v>#VALUE!</v>
      </c>
      <c r="T26" s="7" t="e">
        <f ca="1"/>
        <v>#VALUE!</v>
      </c>
      <c r="U26" s="7" t="e">
        <f ca="1"/>
        <v>#VALUE!</v>
      </c>
      <c r="V26" s="7" t="e">
        <f ca="1"/>
        <v>#VALUE!</v>
      </c>
    </row>
    <row r="27" spans="15:22">
      <c r="O27" s="7" t="e">
        <f ca="1"/>
        <v>#VALUE!</v>
      </c>
      <c r="P27" s="7" t="e">
        <f ca="1"/>
        <v>#VALUE!</v>
      </c>
      <c r="Q27" s="7" t="e">
        <f ca="1"/>
        <v>#VALUE!</v>
      </c>
      <c r="R27" s="7" t="e">
        <f ca="1"/>
        <v>#VALUE!</v>
      </c>
      <c r="S27" s="7" t="e">
        <f ca="1"/>
        <v>#VALUE!</v>
      </c>
      <c r="T27" s="7" t="e">
        <f ca="1"/>
        <v>#VALUE!</v>
      </c>
      <c r="U27" s="7" t="e">
        <f ca="1"/>
        <v>#VALUE!</v>
      </c>
      <c r="V27" s="7" t="e">
        <f ca="1"/>
        <v>#VALUE!</v>
      </c>
    </row>
    <row r="28" spans="15:22">
      <c r="O28" s="7" t="e">
        <f ca="1"/>
        <v>#VALUE!</v>
      </c>
      <c r="P28" s="7" t="e">
        <f ca="1"/>
        <v>#VALUE!</v>
      </c>
      <c r="Q28" s="7" t="e">
        <f ca="1"/>
        <v>#VALUE!</v>
      </c>
      <c r="R28" s="7" t="e">
        <f ca="1"/>
        <v>#VALUE!</v>
      </c>
      <c r="S28" s="7" t="e">
        <f ca="1"/>
        <v>#VALUE!</v>
      </c>
      <c r="T28" s="7" t="e">
        <f ca="1"/>
        <v>#VALUE!</v>
      </c>
      <c r="U28" s="7" t="e">
        <f ca="1"/>
        <v>#VALUE!</v>
      </c>
      <c r="V28" s="7" t="e">
        <f ca="1"/>
        <v>#VALUE!</v>
      </c>
    </row>
    <row r="29" spans="15:22">
      <c r="O29" s="7" t="e">
        <f ca="1"/>
        <v>#VALUE!</v>
      </c>
      <c r="P29" s="7" t="e">
        <f ca="1"/>
        <v>#VALUE!</v>
      </c>
      <c r="Q29" s="7" t="e">
        <f ca="1"/>
        <v>#VALUE!</v>
      </c>
      <c r="R29" s="7" t="e">
        <f ca="1"/>
        <v>#VALUE!</v>
      </c>
      <c r="S29" s="7" t="e">
        <f ca="1"/>
        <v>#VALUE!</v>
      </c>
      <c r="T29" s="7" t="e">
        <f ca="1"/>
        <v>#VALUE!</v>
      </c>
      <c r="U29" s="7" t="e">
        <f ca="1"/>
        <v>#VALUE!</v>
      </c>
      <c r="V29" s="7" t="e">
        <f ca="1"/>
        <v>#VALUE!</v>
      </c>
    </row>
    <row r="30" spans="15:22">
      <c r="O30" s="7" t="e">
        <f ca="1"/>
        <v>#VALUE!</v>
      </c>
      <c r="P30" s="7" t="e">
        <f ca="1"/>
        <v>#VALUE!</v>
      </c>
      <c r="Q30" s="7" t="e">
        <f ca="1"/>
        <v>#VALUE!</v>
      </c>
      <c r="R30" s="7" t="e">
        <f ca="1"/>
        <v>#VALUE!</v>
      </c>
      <c r="S30" s="7" t="e">
        <f ca="1"/>
        <v>#VALUE!</v>
      </c>
      <c r="T30" s="7" t="e">
        <f ca="1"/>
        <v>#VALUE!</v>
      </c>
      <c r="U30" s="7" t="e">
        <f ca="1"/>
        <v>#VALUE!</v>
      </c>
      <c r="V30" s="7" t="e">
        <f ca="1"/>
        <v>#VALUE!</v>
      </c>
    </row>
    <row r="31" spans="15:22">
      <c r="O31" s="7" t="e">
        <f ca="1"/>
        <v>#VALUE!</v>
      </c>
      <c r="P31" s="7" t="e">
        <f ca="1"/>
        <v>#VALUE!</v>
      </c>
      <c r="Q31" s="7" t="e">
        <f ca="1"/>
        <v>#VALUE!</v>
      </c>
      <c r="R31" s="7" t="e">
        <f ca="1"/>
        <v>#VALUE!</v>
      </c>
      <c r="S31" s="7" t="e">
        <f ca="1"/>
        <v>#VALUE!</v>
      </c>
      <c r="T31" s="7" t="e">
        <f ca="1"/>
        <v>#VALUE!</v>
      </c>
      <c r="U31" s="7" t="e">
        <f ca="1"/>
        <v>#VALUE!</v>
      </c>
      <c r="V31" s="7" t="e">
        <f ca="1"/>
        <v>#VALUE!</v>
      </c>
    </row>
    <row r="32" spans="15:22">
      <c r="O32" s="7" t="e">
        <f ca="1"/>
        <v>#VALUE!</v>
      </c>
      <c r="P32" s="7" t="e">
        <f ca="1"/>
        <v>#VALUE!</v>
      </c>
      <c r="Q32" s="7" t="e">
        <f ca="1"/>
        <v>#VALUE!</v>
      </c>
      <c r="R32" s="7" t="e">
        <f ca="1"/>
        <v>#VALUE!</v>
      </c>
      <c r="S32" s="7" t="e">
        <f ca="1"/>
        <v>#VALUE!</v>
      </c>
      <c r="T32" s="7" t="e">
        <f ca="1"/>
        <v>#VALUE!</v>
      </c>
      <c r="U32" s="7" t="e">
        <f ca="1"/>
        <v>#VALUE!</v>
      </c>
      <c r="V32" s="7" t="e">
        <f ca="1"/>
        <v>#VALUE!</v>
      </c>
    </row>
    <row r="33" spans="15:22">
      <c r="O33" s="7" t="e">
        <f ca="1"/>
        <v>#VALUE!</v>
      </c>
      <c r="P33" s="7" t="e">
        <f ca="1"/>
        <v>#VALUE!</v>
      </c>
      <c r="Q33" s="7" t="e">
        <f ca="1"/>
        <v>#VALUE!</v>
      </c>
      <c r="R33" s="7" t="e">
        <f ca="1"/>
        <v>#VALUE!</v>
      </c>
      <c r="S33" s="7" t="e">
        <f ca="1"/>
        <v>#VALUE!</v>
      </c>
      <c r="T33" s="7" t="e">
        <f ca="1"/>
        <v>#VALUE!</v>
      </c>
      <c r="U33" s="7" t="e">
        <f ca="1"/>
        <v>#VALUE!</v>
      </c>
      <c r="V33" s="7" t="e">
        <f ca="1"/>
        <v>#VALUE!</v>
      </c>
    </row>
    <row r="36" spans="15:22">
      <c r="O36" t="s">
        <v>21</v>
      </c>
    </row>
    <row r="37" spans="15:22">
      <c r="O37" s="7" t="e" cm="1">
        <f t="array" aca="1" ref="O37:V44" ca="1">_xlfn.LET(_xlpm.files,"ABCDEFGH",_xlpm.bf,FIND(UPPER(LEFT(M12,1)),_xlpm.files),_xlpm.br,--MID(M12,2,99),_xlpm.me,VALUE(RIGHT(N13,1)),_xlpm.board,piecetype!A1:H8,_xlpm.r,_xlfn.SEQUENCE(8,,1,1)+0*_xlfn.SEQUENCE(1,8,1,1),_xlpm.c,_xlfn.SEQUENCE(1,8,1,1)+0*_xlfn.SEQUENCE(8,,1,1),_xlpm.dr,_xlpm.r-_xlpm.br,_xlpm.dc,_xlpm.c-_xlpm.bf,_xlpm.dist,ABS(_xlpm.dr)+ABS(_xlpm.dc),_xlpm.self,(_xlpm.dr=0)*(_xlpm.dc=0),
_xlpm.isLine,((_xlpm.dr=0)+(_xlpm.dc=0))*NOT(_xlpm.self),
_xlpm.dirR,IF(_xlpm.isLine,IF(_xlpm.dr=0,IF(_xlpm.dc&gt;0,1,2),IF(_xlpm.dr&gt;0,3,4)),0),
_xlpm.blockR,_xlfn.MAP(_xlpm.dirR,_xlfn.LAMBDA(_xlpm.d,IF(_xlpm.d=0,0,MIN(IF((_xlpm.dirR=_xlpm.d)*(_xlpm.board&lt;&gt;""),ABS(_xlpm.dr)+ABS(_xlpm.dc),9))))),
_xlpm.reachR,_xlpm.isLine*IF(_xlpm.blockR=0,1,(ABS(_xlpm.dr)+ABS(_xlpm.dc))&lt;=_xlpm.blockR),
_xlpm.isDiag,(ABS(_xlpm.dr)=ABS(_xlpm.dc))*NOT(_xlpm.self),
_xlpm.dirB,IF(_xlpm.isDiag,IF(_xlpm.dr&lt;0,IF(_xlpm.dc&gt;0,5,6),IF(_xlpm.dc&gt;0,7,8)),0),
_xlpm.blockB,_xlfn.MAP(_xlpm.dirB,_xlfn.LAMBDA(_xlpm.d,IF(_xlpm.d=0,0,MIN(IF((_xlpm.dirB=_xlpm.d)*(_xlpm.board&lt;&gt;""),ABS(_xlpm.dr),9))))),
_xlpm.reachB,_xlpm.isDiag*IF(_xlpm.blockB=0,1,ABS(_xlpm.dr)&lt;=_xlpm.blockB),
_xlpm.reachable,_xlpm.reachR+_xlpm.reachB,
_xlpm.dest,IF(_xlpm.board="",0,VALUE(_xlpm.board)),
_xlpm.legal,_xlpm.reachable*((_xlpm.dest=0)+((_xlpm.dest&lt;&gt;0)*(_xlpm.dest&lt;&gt;_xlpm.me))),
_xlpm.legal=1)</f>
        <v>#VALUE!</v>
      </c>
      <c r="P37" s="7" t="e">
        <f ca="1"/>
        <v>#VALUE!</v>
      </c>
      <c r="Q37" s="7" t="e">
        <f ca="1"/>
        <v>#VALUE!</v>
      </c>
      <c r="R37" s="7" t="e">
        <f ca="1"/>
        <v>#VALUE!</v>
      </c>
      <c r="S37" s="7" t="e">
        <f ca="1"/>
        <v>#VALUE!</v>
      </c>
      <c r="T37" s="7" t="e">
        <f ca="1"/>
        <v>#VALUE!</v>
      </c>
      <c r="U37" s="7" t="e">
        <f ca="1"/>
        <v>#VALUE!</v>
      </c>
      <c r="V37" s="7" t="e">
        <f ca="1"/>
        <v>#VALUE!</v>
      </c>
    </row>
    <row r="38" spans="15:22">
      <c r="O38" s="7" t="e">
        <f ca="1"/>
        <v>#VALUE!</v>
      </c>
      <c r="P38" s="7" t="e">
        <f ca="1"/>
        <v>#VALUE!</v>
      </c>
      <c r="Q38" s="7" t="e">
        <f ca="1"/>
        <v>#VALUE!</v>
      </c>
      <c r="R38" s="7" t="e">
        <f ca="1"/>
        <v>#VALUE!</v>
      </c>
      <c r="S38" s="7" t="e">
        <f ca="1"/>
        <v>#VALUE!</v>
      </c>
      <c r="T38" s="7" t="e">
        <f ca="1"/>
        <v>#VALUE!</v>
      </c>
      <c r="U38" s="7" t="e">
        <f ca="1"/>
        <v>#VALUE!</v>
      </c>
      <c r="V38" s="7" t="e">
        <f ca="1"/>
        <v>#VALUE!</v>
      </c>
    </row>
    <row r="39" spans="15:22">
      <c r="O39" s="7" t="e">
        <f ca="1"/>
        <v>#VALUE!</v>
      </c>
      <c r="P39" s="7" t="e">
        <f ca="1"/>
        <v>#VALUE!</v>
      </c>
      <c r="Q39" s="7" t="e">
        <f ca="1"/>
        <v>#VALUE!</v>
      </c>
      <c r="R39" s="7" t="e">
        <f ca="1"/>
        <v>#VALUE!</v>
      </c>
      <c r="S39" s="7" t="e">
        <f ca="1"/>
        <v>#VALUE!</v>
      </c>
      <c r="T39" s="7" t="e">
        <f ca="1"/>
        <v>#VALUE!</v>
      </c>
      <c r="U39" s="7" t="e">
        <f ca="1"/>
        <v>#VALUE!</v>
      </c>
      <c r="V39" s="7" t="e">
        <f ca="1"/>
        <v>#VALUE!</v>
      </c>
    </row>
    <row r="40" spans="15:22">
      <c r="O40" s="7" t="e">
        <f ca="1"/>
        <v>#VALUE!</v>
      </c>
      <c r="P40" s="7" t="e">
        <f ca="1"/>
        <v>#VALUE!</v>
      </c>
      <c r="Q40" s="7" t="e">
        <f ca="1"/>
        <v>#VALUE!</v>
      </c>
      <c r="R40" s="7" t="e">
        <f ca="1"/>
        <v>#VALUE!</v>
      </c>
      <c r="S40" s="7" t="e">
        <f ca="1"/>
        <v>#VALUE!</v>
      </c>
      <c r="T40" s="7" t="e">
        <f ca="1"/>
        <v>#VALUE!</v>
      </c>
      <c r="U40" s="7" t="e">
        <f ca="1"/>
        <v>#VALUE!</v>
      </c>
      <c r="V40" s="7" t="e">
        <f ca="1"/>
        <v>#VALUE!</v>
      </c>
    </row>
    <row r="41" spans="15:22">
      <c r="O41" s="7" t="e">
        <f ca="1"/>
        <v>#VALUE!</v>
      </c>
      <c r="P41" s="7" t="e">
        <f ca="1"/>
        <v>#VALUE!</v>
      </c>
      <c r="Q41" s="7" t="e">
        <f ca="1"/>
        <v>#VALUE!</v>
      </c>
      <c r="R41" s="7" t="e">
        <f ca="1"/>
        <v>#VALUE!</v>
      </c>
      <c r="S41" s="7" t="e">
        <f ca="1"/>
        <v>#VALUE!</v>
      </c>
      <c r="T41" s="7" t="e">
        <f ca="1"/>
        <v>#VALUE!</v>
      </c>
      <c r="U41" s="7" t="e">
        <f ca="1"/>
        <v>#VALUE!</v>
      </c>
      <c r="V41" s="7" t="e">
        <f ca="1"/>
        <v>#VALUE!</v>
      </c>
    </row>
    <row r="42" spans="15:22">
      <c r="O42" s="7" t="e">
        <f ca="1"/>
        <v>#VALUE!</v>
      </c>
      <c r="P42" s="7" t="e">
        <f ca="1"/>
        <v>#VALUE!</v>
      </c>
      <c r="Q42" s="7" t="e">
        <f ca="1"/>
        <v>#VALUE!</v>
      </c>
      <c r="R42" s="7" t="e">
        <f ca="1"/>
        <v>#VALUE!</v>
      </c>
      <c r="S42" s="7" t="e">
        <f ca="1"/>
        <v>#VALUE!</v>
      </c>
      <c r="T42" s="7" t="e">
        <f ca="1"/>
        <v>#VALUE!</v>
      </c>
      <c r="U42" s="7" t="e">
        <f ca="1"/>
        <v>#VALUE!</v>
      </c>
      <c r="V42" s="7" t="e">
        <f ca="1"/>
        <v>#VALUE!</v>
      </c>
    </row>
    <row r="43" spans="15:22">
      <c r="O43" s="7" t="e">
        <f ca="1"/>
        <v>#VALUE!</v>
      </c>
      <c r="P43" s="7" t="e">
        <f ca="1"/>
        <v>#VALUE!</v>
      </c>
      <c r="Q43" s="7" t="e">
        <f ca="1"/>
        <v>#VALUE!</v>
      </c>
      <c r="R43" s="7" t="e">
        <f ca="1"/>
        <v>#VALUE!</v>
      </c>
      <c r="S43" s="7" t="e">
        <f ca="1"/>
        <v>#VALUE!</v>
      </c>
      <c r="T43" s="7" t="e">
        <f ca="1"/>
        <v>#VALUE!</v>
      </c>
      <c r="U43" s="7" t="e">
        <f ca="1"/>
        <v>#VALUE!</v>
      </c>
      <c r="V43" s="7" t="e">
        <f ca="1"/>
        <v>#VALUE!</v>
      </c>
    </row>
    <row r="44" spans="15:22">
      <c r="O44" s="7" t="e">
        <f ca="1"/>
        <v>#VALUE!</v>
      </c>
      <c r="P44" s="7" t="e">
        <f ca="1"/>
        <v>#VALUE!</v>
      </c>
      <c r="Q44" s="7" t="e">
        <f ca="1"/>
        <v>#VALUE!</v>
      </c>
      <c r="R44" s="7" t="e">
        <f ca="1"/>
        <v>#VALUE!</v>
      </c>
      <c r="S44" s="7" t="e">
        <f ca="1"/>
        <v>#VALUE!</v>
      </c>
      <c r="T44" s="7" t="e">
        <f ca="1"/>
        <v>#VALUE!</v>
      </c>
      <c r="U44" s="7" t="e">
        <f ca="1"/>
        <v>#VALUE!</v>
      </c>
      <c r="V44" s="7" t="e">
        <f ca="1"/>
        <v>#VALUE!</v>
      </c>
    </row>
    <row r="47" spans="15:22">
      <c r="O47" t="s">
        <v>22</v>
      </c>
    </row>
    <row r="48" spans="15:22">
      <c r="O48" s="7" t="e" cm="1">
        <f t="array" aca="1" ref="O48:V55" ca="1">_xlfn.LET(_xlpm.files,"ABCDEFGH",_xlpm.bf,FIND(UPPER(LEFT(M12,1)),_xlpm.files),_xlpm.br,--MID(M12,2,99),_xlpm.me,VALUE(RIGHT(N13,1)),_xlpm.board,piecetype!A1:H8,_xlpm.r,_xlfn.SEQUENCE(8,,1,1)+0*_xlfn.SEQUENCE(1,8,1,1),_xlpm.c,_xlfn.SEQUENCE(1,8,1,1)+0*_xlfn.SEQUENCE(8,,1,1),_xlpm.dr,_xlpm.r-_xlpm.br,_xlpm.dc,_xlpm.c-_xlpm.bf,_xlpm.self,(_xlpm.dr=0)*(_xlpm.dc=0),_xlpm.isN,((ABS(_xlpm.dr)=2)*(ABS(_xlpm.dc)=1))+((ABS(_xlpm.dr)=1)*(ABS(_xlpm.dc)=2)),_xlpm.cand,_xlpm.isN*NOT(_xlpm.self),_xlpm.dest,IF(_xlpm.board="",0,VALUE(_xlpm.board)),_xlpm.legal,_xlpm.cand*((_xlpm.dest=0)+((_xlpm.dest&lt;&gt;0)*(_xlpm.dest&lt;&gt;_xlpm.me))),_xlpm.legal=1)</f>
        <v>#VALUE!</v>
      </c>
      <c r="P48" s="7" t="e">
        <f ca="1"/>
        <v>#VALUE!</v>
      </c>
      <c r="Q48" s="7" t="e">
        <f ca="1"/>
        <v>#VALUE!</v>
      </c>
      <c r="R48" s="7" t="e">
        <f ca="1"/>
        <v>#VALUE!</v>
      </c>
      <c r="S48" s="7" t="e">
        <f ca="1"/>
        <v>#VALUE!</v>
      </c>
      <c r="T48" s="7" t="e">
        <f ca="1"/>
        <v>#VALUE!</v>
      </c>
      <c r="U48" s="7" t="e">
        <f ca="1"/>
        <v>#VALUE!</v>
      </c>
      <c r="V48" s="7" t="e">
        <f ca="1"/>
        <v>#VALUE!</v>
      </c>
    </row>
    <row r="49" spans="15:22">
      <c r="O49" s="7" t="e">
        <f ca="1"/>
        <v>#VALUE!</v>
      </c>
      <c r="P49" s="7" t="e">
        <f ca="1"/>
        <v>#VALUE!</v>
      </c>
      <c r="Q49" s="7" t="e">
        <f ca="1"/>
        <v>#VALUE!</v>
      </c>
      <c r="R49" s="7" t="e">
        <f ca="1"/>
        <v>#VALUE!</v>
      </c>
      <c r="S49" s="7" t="e">
        <f ca="1"/>
        <v>#VALUE!</v>
      </c>
      <c r="T49" s="7" t="e">
        <f ca="1"/>
        <v>#VALUE!</v>
      </c>
      <c r="U49" s="7" t="e">
        <f ca="1"/>
        <v>#VALUE!</v>
      </c>
      <c r="V49" s="7" t="e">
        <f ca="1"/>
        <v>#VALUE!</v>
      </c>
    </row>
    <row r="50" spans="15:22">
      <c r="O50" s="7" t="e">
        <f ca="1"/>
        <v>#VALUE!</v>
      </c>
      <c r="P50" s="7" t="e">
        <f ca="1"/>
        <v>#VALUE!</v>
      </c>
      <c r="Q50" s="7" t="e">
        <f ca="1"/>
        <v>#VALUE!</v>
      </c>
      <c r="R50" s="7" t="e">
        <f ca="1"/>
        <v>#VALUE!</v>
      </c>
      <c r="S50" s="7" t="e">
        <f ca="1"/>
        <v>#VALUE!</v>
      </c>
      <c r="T50" s="7" t="e">
        <f ca="1"/>
        <v>#VALUE!</v>
      </c>
      <c r="U50" s="7" t="e">
        <f ca="1"/>
        <v>#VALUE!</v>
      </c>
      <c r="V50" s="7" t="e">
        <f ca="1"/>
        <v>#VALUE!</v>
      </c>
    </row>
    <row r="51" spans="15:22">
      <c r="O51" s="7" t="e">
        <f ca="1"/>
        <v>#VALUE!</v>
      </c>
      <c r="P51" s="7" t="e">
        <f ca="1"/>
        <v>#VALUE!</v>
      </c>
      <c r="Q51" s="7" t="e">
        <f ca="1"/>
        <v>#VALUE!</v>
      </c>
      <c r="R51" s="7" t="e">
        <f ca="1"/>
        <v>#VALUE!</v>
      </c>
      <c r="S51" s="7" t="e">
        <f ca="1"/>
        <v>#VALUE!</v>
      </c>
      <c r="T51" s="7" t="e">
        <f ca="1"/>
        <v>#VALUE!</v>
      </c>
      <c r="U51" s="7" t="e">
        <f ca="1"/>
        <v>#VALUE!</v>
      </c>
      <c r="V51" s="7" t="e">
        <f ca="1"/>
        <v>#VALUE!</v>
      </c>
    </row>
    <row r="52" spans="15:22">
      <c r="O52" s="7" t="e">
        <f ca="1"/>
        <v>#VALUE!</v>
      </c>
      <c r="P52" s="7" t="e">
        <f ca="1"/>
        <v>#VALUE!</v>
      </c>
      <c r="Q52" s="7" t="e">
        <f ca="1"/>
        <v>#VALUE!</v>
      </c>
      <c r="R52" s="7" t="e">
        <f ca="1"/>
        <v>#VALUE!</v>
      </c>
      <c r="S52" s="7" t="e">
        <f ca="1"/>
        <v>#VALUE!</v>
      </c>
      <c r="T52" s="7" t="e">
        <f ca="1"/>
        <v>#VALUE!</v>
      </c>
      <c r="U52" s="7" t="e">
        <f ca="1"/>
        <v>#VALUE!</v>
      </c>
      <c r="V52" s="7" t="e">
        <f ca="1"/>
        <v>#VALUE!</v>
      </c>
    </row>
    <row r="53" spans="15:22">
      <c r="O53" s="7" t="e">
        <f ca="1"/>
        <v>#VALUE!</v>
      </c>
      <c r="P53" s="7" t="e">
        <f ca="1"/>
        <v>#VALUE!</v>
      </c>
      <c r="Q53" s="7" t="e">
        <f ca="1"/>
        <v>#VALUE!</v>
      </c>
      <c r="R53" s="7" t="e">
        <f ca="1"/>
        <v>#VALUE!</v>
      </c>
      <c r="S53" s="7" t="e">
        <f ca="1"/>
        <v>#VALUE!</v>
      </c>
      <c r="T53" s="7" t="e">
        <f ca="1"/>
        <v>#VALUE!</v>
      </c>
      <c r="U53" s="7" t="e">
        <f ca="1"/>
        <v>#VALUE!</v>
      </c>
      <c r="V53" s="7" t="e">
        <f ca="1"/>
        <v>#VALUE!</v>
      </c>
    </row>
    <row r="54" spans="15:22">
      <c r="O54" s="7" t="e">
        <f ca="1"/>
        <v>#VALUE!</v>
      </c>
      <c r="P54" s="7" t="e">
        <f ca="1"/>
        <v>#VALUE!</v>
      </c>
      <c r="Q54" s="7" t="e">
        <f ca="1"/>
        <v>#VALUE!</v>
      </c>
      <c r="R54" s="7" t="e">
        <f ca="1"/>
        <v>#VALUE!</v>
      </c>
      <c r="S54" s="7" t="e">
        <f ca="1"/>
        <v>#VALUE!</v>
      </c>
      <c r="T54" s="7" t="e">
        <f ca="1"/>
        <v>#VALUE!</v>
      </c>
      <c r="U54" s="7" t="e">
        <f ca="1"/>
        <v>#VALUE!</v>
      </c>
      <c r="V54" s="7" t="e">
        <f ca="1"/>
        <v>#VALUE!</v>
      </c>
    </row>
    <row r="55" spans="15:22">
      <c r="O55" s="7" t="e">
        <f ca="1"/>
        <v>#VALUE!</v>
      </c>
      <c r="P55" s="7" t="e">
        <f ca="1"/>
        <v>#VALUE!</v>
      </c>
      <c r="Q55" s="7" t="e">
        <f ca="1"/>
        <v>#VALUE!</v>
      </c>
      <c r="R55" s="7" t="e">
        <f ca="1"/>
        <v>#VALUE!</v>
      </c>
      <c r="S55" s="7" t="e">
        <f ca="1"/>
        <v>#VALUE!</v>
      </c>
      <c r="T55" s="7" t="e">
        <f ca="1"/>
        <v>#VALUE!</v>
      </c>
      <c r="U55" s="7" t="e">
        <f ca="1"/>
        <v>#VALUE!</v>
      </c>
      <c r="V55" s="7" t="e">
        <f ca="1"/>
        <v>#VALUE!</v>
      </c>
    </row>
    <row r="58" spans="15:22">
      <c r="O58" t="s">
        <v>23</v>
      </c>
    </row>
    <row r="59" spans="15:22">
      <c r="O59" s="7" t="e" cm="1">
        <f t="array" aca="1" ref="O59:V66" ca="1">_xlfn.LET(_xlpm.files,"ABCDEFGH",
_xlpm.bf,FIND(UPPER(LEFT(M12,1)),_xlpm.files),
_xlpm.br,--MID(M12,2,99),
_xlpm.me,VALUE(RIGHT(N13,1)),
_xlpm.board,piecetype!A1:H8,
_xlpm.fw,IF(_xlpm.me=1,1,-1),
_xlpm.start,IF(_xlpm.me=1,2,7),
_xlpm.r,_xlfn.SEQUENCE(8,,1,1)+0*_xlfn.SEQUENCE(1,8,1,1),
_xlpm.c,_xlfn.SEQUENCE(1,8,1,1)+0*_xlfn.SEQUENCE(8,,1,1),
_xlpm.dr,_xlpm.r-_xlpm.br,_xlpm.dc,_xlpm.c-_xlpm.bf,
_xlpm.dest,IF(_xlpm.board="",0,VALUE(_xlpm.board)),
_xlpm.one,(_xlpm.dr=_xlpm.fw)*(_xlpm.dc=0),
_xlpm.two,(_xlpm.br=_xlpm.start)*(_xlpm.dr=2*_xlpm.fw)*(_xlpm.dc=0),
_xlpm.cap,(_xlpm.dr=_xlpm.fw)*(ABS(_xlpm.dc)=1),
_xlpm.mid,IFERROR(IF(INDEX(_xlpm.board,_xlpm.br+_xlpm.fw,_xlpm.bf)="",0,VALUE(INDEX(_xlpm.board,_xlpm.br+_xlpm.fw,_xlpm.bf))),0),
_xlpm.besideRow,INDEX(_xlpm.board,_xlpm.br,0),
_xlpm.besideVal,IF(_xlpm.besideRow="",0,VALUE(_xlpm.besideRow)),
_xlpm.besideEnemy,(_xlpm.besideVal&lt;&gt;0)*(_xlpm.besideVal&lt;&gt;_xlpm.me),
_xlpm.oneOK,_xlpm.one*(_xlpm.dest=0),
_xlpm.twoOK,_xlpm.two*(_xlpm.dest=0)*(_xlpm.mid=0),
_xlpm.capOK,_xlpm.cap*(_xlpm.dest&lt;&gt;0)*(_xlpm.dest&lt;&gt;_xlpm.me),
_xlpm.epOK,_xlpm.cap*(_xlpm.dest=0)*_xlpm.besideEnemy,
_xlpm.legal,_xlpm.oneOK+_xlpm.twoOK+_xlpm.capOK+_xlpm.epOK,
_xlpm.legal&gt;0)</f>
        <v>#VALUE!</v>
      </c>
      <c r="P59" s="7" t="e">
        <f ca="1"/>
        <v>#VALUE!</v>
      </c>
      <c r="Q59" s="7" t="e">
        <f ca="1"/>
        <v>#VALUE!</v>
      </c>
      <c r="R59" s="7" t="e">
        <f ca="1"/>
        <v>#VALUE!</v>
      </c>
      <c r="S59" s="7" t="e">
        <f ca="1"/>
        <v>#VALUE!</v>
      </c>
      <c r="T59" s="7" t="e">
        <f ca="1"/>
        <v>#VALUE!</v>
      </c>
      <c r="U59" s="7" t="e">
        <f ca="1"/>
        <v>#VALUE!</v>
      </c>
      <c r="V59" s="7" t="e">
        <f ca="1"/>
        <v>#VALUE!</v>
      </c>
    </row>
    <row r="60" spans="15:22">
      <c r="O60" s="7" t="e">
        <f ca="1"/>
        <v>#VALUE!</v>
      </c>
      <c r="P60" s="7" t="e">
        <f ca="1"/>
        <v>#VALUE!</v>
      </c>
      <c r="Q60" s="7" t="e">
        <f ca="1"/>
        <v>#VALUE!</v>
      </c>
      <c r="R60" s="7" t="e">
        <f ca="1"/>
        <v>#VALUE!</v>
      </c>
      <c r="S60" s="7" t="e">
        <f ca="1"/>
        <v>#VALUE!</v>
      </c>
      <c r="T60" s="7" t="e">
        <f ca="1"/>
        <v>#VALUE!</v>
      </c>
      <c r="U60" s="7" t="e">
        <f ca="1"/>
        <v>#VALUE!</v>
      </c>
      <c r="V60" s="7" t="e">
        <f ca="1"/>
        <v>#VALUE!</v>
      </c>
    </row>
    <row r="61" spans="15:22">
      <c r="O61" s="7" t="e">
        <f ca="1"/>
        <v>#VALUE!</v>
      </c>
      <c r="P61" s="7" t="e">
        <f ca="1"/>
        <v>#VALUE!</v>
      </c>
      <c r="Q61" s="7" t="e">
        <f ca="1"/>
        <v>#VALUE!</v>
      </c>
      <c r="R61" s="7" t="e">
        <f ca="1"/>
        <v>#VALUE!</v>
      </c>
      <c r="S61" s="7" t="e">
        <f ca="1"/>
        <v>#VALUE!</v>
      </c>
      <c r="T61" s="7" t="e">
        <f ca="1"/>
        <v>#VALUE!</v>
      </c>
      <c r="U61" s="7" t="e">
        <f ca="1"/>
        <v>#VALUE!</v>
      </c>
      <c r="V61" s="7" t="e">
        <f ca="1"/>
        <v>#VALUE!</v>
      </c>
    </row>
    <row r="62" spans="15:22">
      <c r="O62" s="7" t="e">
        <f ca="1"/>
        <v>#VALUE!</v>
      </c>
      <c r="P62" s="7" t="e">
        <f ca="1"/>
        <v>#VALUE!</v>
      </c>
      <c r="Q62" s="7" t="e">
        <f ca="1"/>
        <v>#VALUE!</v>
      </c>
      <c r="R62" s="7" t="e">
        <f ca="1"/>
        <v>#VALUE!</v>
      </c>
      <c r="S62" s="7" t="e">
        <f ca="1"/>
        <v>#VALUE!</v>
      </c>
      <c r="T62" s="7" t="e">
        <f ca="1"/>
        <v>#VALUE!</v>
      </c>
      <c r="U62" s="7" t="e">
        <f ca="1"/>
        <v>#VALUE!</v>
      </c>
      <c r="V62" s="7" t="e">
        <f ca="1"/>
        <v>#VALUE!</v>
      </c>
    </row>
    <row r="63" spans="15:22">
      <c r="O63" s="7" t="e">
        <f ca="1"/>
        <v>#VALUE!</v>
      </c>
      <c r="P63" s="7" t="e">
        <f ca="1"/>
        <v>#VALUE!</v>
      </c>
      <c r="Q63" s="7" t="e">
        <f ca="1"/>
        <v>#VALUE!</v>
      </c>
      <c r="R63" s="7" t="e">
        <f ca="1"/>
        <v>#VALUE!</v>
      </c>
      <c r="S63" s="7" t="e">
        <f ca="1"/>
        <v>#VALUE!</v>
      </c>
      <c r="T63" s="7" t="e">
        <f ca="1"/>
        <v>#VALUE!</v>
      </c>
      <c r="U63" s="7" t="e">
        <f ca="1"/>
        <v>#VALUE!</v>
      </c>
      <c r="V63" s="7" t="e">
        <f ca="1"/>
        <v>#VALUE!</v>
      </c>
    </row>
    <row r="64" spans="15:22">
      <c r="O64" s="7" t="e">
        <f ca="1"/>
        <v>#VALUE!</v>
      </c>
      <c r="P64" s="7" t="e">
        <f ca="1"/>
        <v>#VALUE!</v>
      </c>
      <c r="Q64" s="7" t="e">
        <f ca="1"/>
        <v>#VALUE!</v>
      </c>
      <c r="R64" s="7" t="e">
        <f ca="1"/>
        <v>#VALUE!</v>
      </c>
      <c r="S64" s="7" t="e">
        <f ca="1"/>
        <v>#VALUE!</v>
      </c>
      <c r="T64" s="7" t="e">
        <f ca="1"/>
        <v>#VALUE!</v>
      </c>
      <c r="U64" s="7" t="e">
        <f ca="1"/>
        <v>#VALUE!</v>
      </c>
      <c r="V64" s="7" t="e">
        <f ca="1"/>
        <v>#VALUE!</v>
      </c>
    </row>
    <row r="65" spans="15:22">
      <c r="O65" s="7" t="e">
        <f ca="1"/>
        <v>#VALUE!</v>
      </c>
      <c r="P65" s="7" t="e">
        <f ca="1"/>
        <v>#VALUE!</v>
      </c>
      <c r="Q65" s="7" t="e">
        <f ca="1"/>
        <v>#VALUE!</v>
      </c>
      <c r="R65" s="7" t="e">
        <f ca="1"/>
        <v>#VALUE!</v>
      </c>
      <c r="S65" s="7" t="e">
        <f ca="1"/>
        <v>#VALUE!</v>
      </c>
      <c r="T65" s="7" t="e">
        <f ca="1"/>
        <v>#VALUE!</v>
      </c>
      <c r="U65" s="7" t="e">
        <f ca="1"/>
        <v>#VALUE!</v>
      </c>
      <c r="V65" s="7" t="e">
        <f ca="1"/>
        <v>#VALUE!</v>
      </c>
    </row>
    <row r="66" spans="15:22">
      <c r="O66" s="7" t="e">
        <f ca="1"/>
        <v>#VALUE!</v>
      </c>
      <c r="P66" s="7" t="e">
        <f ca="1"/>
        <v>#VALUE!</v>
      </c>
      <c r="Q66" s="7" t="e">
        <f ca="1"/>
        <v>#VALUE!</v>
      </c>
      <c r="R66" s="7" t="e">
        <f ca="1"/>
        <v>#VALUE!</v>
      </c>
      <c r="S66" s="7" t="e">
        <f ca="1"/>
        <v>#VALUE!</v>
      </c>
      <c r="T66" s="7" t="e">
        <f ca="1"/>
        <v>#VALUE!</v>
      </c>
      <c r="U66" s="7" t="e">
        <f ca="1"/>
        <v>#VALUE!</v>
      </c>
      <c r="V66" s="7" t="e">
        <f ca="1"/>
        <v>#VALUE!</v>
      </c>
    </row>
    <row r="69" spans="15:22">
      <c r="O69" t="s">
        <v>34</v>
      </c>
    </row>
    <row r="70" spans="15:22">
      <c r="O70" s="7" t="b" cm="1">
        <f t="array" aca="1" ref="O70:V77" ca="1">_xlfn.LET(
  _xlpm.me,        IFERROR(VALUE(RIGHT(N13,1)),0),
  _xlpm.isKing,    UPPER(LEFT(N13,1))="K",
  _xlpm.homeRow,   IF(_xlpm.me=1,1,8),
  _xlpm.onHome,    UPPER(M12)="D"&amp;_xlpm.homeRow,
  _xlpm.notMoved,  NOT(IF(_xlpm.me=1,livegame!T19,livegame!T18)),
  _xlpm.board,     piecetype!A1:H8,
  _xlpm.codes,     livegame!I5:P12,
  _xlpm.r, _xlfn.SEQUENCE(8,,1,1)+0*_xlfn.SEQUENCE(1,8,1,1),
  _xlpm.c, _xlfn.SEQUENCE(1,8,1,1)+0*_xlfn.SEQUENCE(8,,1,1),
  _xlpm.rookA,     INDEX(_xlpm.codes,_xlpm.homeRow,1)="r"&amp;_xlpm.me,
  _xlpm.rookH,     INDEX(_xlpm.codes,_xlpm.homeRow,8)="r"&amp;_xlpm.me,
  _xlpm.emptyA,    AND(INDEX(_xlpm.board,_xlpm.homeRow,2)="",INDEX(_xlpm.board,_xlpm.homeRow,3)=""),
  _xlpm.emptyH,    AND(INDEX(_xlpm.board,_xlpm.homeRow,5)="",INDEX(_xlpm.board,_xlpm.homeRow,6)="",INDEX(_xlpm.board,_xlpm.homeRow,7)=""),
  _xlpm.canA,      _xlpm.isKing*_xlpm.onHome*_xlpm.notMoved*_xlpm.rookA*_xlpm.emptyA,
  _xlpm.canH,      _xlpm.isKing*_xlpm.onHome*_xlpm.notMoved*_xlpm.rookH*_xlpm.emptyH,
  _xlpm.castle,    _xlpm.canA*(_xlpm.r=_xlpm.homeRow)*(_xlpm.c=2) + _xlpm.canH*(_xlpm.r=_xlpm.homeRow)*(_xlpm.c=6),
  _xlpm.castle=1)</f>
        <v>0</v>
      </c>
      <c r="P70" s="7" t="b">
        <f ca="1"/>
        <v>0</v>
      </c>
      <c r="Q70" s="7" t="b">
        <f ca="1"/>
        <v>0</v>
      </c>
      <c r="R70" s="7" t="b">
        <f ca="1"/>
        <v>0</v>
      </c>
      <c r="S70" s="7" t="b">
        <f ca="1"/>
        <v>0</v>
      </c>
      <c r="T70" s="7" t="b">
        <f ca="1"/>
        <v>0</v>
      </c>
      <c r="U70" s="7" t="b">
        <f ca="1"/>
        <v>0</v>
      </c>
      <c r="V70" s="7" t="b">
        <f ca="1"/>
        <v>0</v>
      </c>
    </row>
    <row r="71" spans="15:22">
      <c r="O71" s="7" t="b">
        <f ca="1"/>
        <v>0</v>
      </c>
      <c r="P71" s="7" t="b">
        <f ca="1"/>
        <v>0</v>
      </c>
      <c r="Q71" s="7" t="b">
        <f ca="1"/>
        <v>0</v>
      </c>
      <c r="R71" s="7" t="b">
        <f ca="1"/>
        <v>0</v>
      </c>
      <c r="S71" s="7" t="b">
        <f ca="1"/>
        <v>0</v>
      </c>
      <c r="T71" s="7" t="b">
        <f ca="1"/>
        <v>0</v>
      </c>
      <c r="U71" s="7" t="b">
        <f ca="1"/>
        <v>0</v>
      </c>
      <c r="V71" s="7" t="b">
        <f ca="1"/>
        <v>0</v>
      </c>
    </row>
    <row r="72" spans="15:22">
      <c r="O72" s="7" t="b">
        <f ca="1"/>
        <v>0</v>
      </c>
      <c r="P72" s="7" t="b">
        <f ca="1"/>
        <v>0</v>
      </c>
      <c r="Q72" s="7" t="b">
        <f ca="1"/>
        <v>0</v>
      </c>
      <c r="R72" s="7" t="b">
        <f ca="1"/>
        <v>0</v>
      </c>
      <c r="S72" s="7" t="b">
        <f ca="1"/>
        <v>0</v>
      </c>
      <c r="T72" s="7" t="b">
        <f ca="1"/>
        <v>0</v>
      </c>
      <c r="U72" s="7" t="b">
        <f ca="1"/>
        <v>0</v>
      </c>
      <c r="V72" s="7" t="b">
        <f ca="1"/>
        <v>0</v>
      </c>
    </row>
    <row r="73" spans="15:22">
      <c r="O73" s="7" t="b">
        <f ca="1"/>
        <v>0</v>
      </c>
      <c r="P73" s="7" t="b">
        <f ca="1"/>
        <v>0</v>
      </c>
      <c r="Q73" s="7" t="b">
        <f ca="1"/>
        <v>0</v>
      </c>
      <c r="R73" s="7" t="b">
        <f ca="1"/>
        <v>0</v>
      </c>
      <c r="S73" s="7" t="b">
        <f ca="1"/>
        <v>0</v>
      </c>
      <c r="T73" s="7" t="b">
        <f ca="1"/>
        <v>0</v>
      </c>
      <c r="U73" s="7" t="b">
        <f ca="1"/>
        <v>0</v>
      </c>
      <c r="V73" s="7" t="b">
        <f ca="1"/>
        <v>0</v>
      </c>
    </row>
    <row r="74" spans="15:22">
      <c r="O74" s="7" t="b">
        <f ca="1"/>
        <v>0</v>
      </c>
      <c r="P74" s="7" t="b">
        <f ca="1"/>
        <v>0</v>
      </c>
      <c r="Q74" s="7" t="b">
        <f ca="1"/>
        <v>0</v>
      </c>
      <c r="R74" s="7" t="b">
        <f ca="1"/>
        <v>0</v>
      </c>
      <c r="S74" s="7" t="b">
        <f ca="1"/>
        <v>0</v>
      </c>
      <c r="T74" s="7" t="b">
        <f ca="1"/>
        <v>0</v>
      </c>
      <c r="U74" s="7" t="b">
        <f ca="1"/>
        <v>0</v>
      </c>
      <c r="V74" s="7" t="b">
        <f ca="1"/>
        <v>0</v>
      </c>
    </row>
    <row r="75" spans="15:22">
      <c r="O75" s="7" t="b">
        <f ca="1"/>
        <v>0</v>
      </c>
      <c r="P75" s="7" t="b">
        <f ca="1"/>
        <v>0</v>
      </c>
      <c r="Q75" s="7" t="b">
        <f ca="1"/>
        <v>0</v>
      </c>
      <c r="R75" s="7" t="b">
        <f ca="1"/>
        <v>0</v>
      </c>
      <c r="S75" s="7" t="b">
        <f ca="1"/>
        <v>0</v>
      </c>
      <c r="T75" s="7" t="b">
        <f ca="1"/>
        <v>0</v>
      </c>
      <c r="U75" s="7" t="b">
        <f ca="1"/>
        <v>0</v>
      </c>
      <c r="V75" s="7" t="b">
        <f ca="1"/>
        <v>0</v>
      </c>
    </row>
    <row r="76" spans="15:22">
      <c r="O76" s="7" t="b">
        <f ca="1"/>
        <v>0</v>
      </c>
      <c r="P76" s="7" t="b">
        <f ca="1"/>
        <v>0</v>
      </c>
      <c r="Q76" s="7" t="b">
        <f ca="1"/>
        <v>0</v>
      </c>
      <c r="R76" s="7" t="b">
        <f ca="1"/>
        <v>0</v>
      </c>
      <c r="S76" s="7" t="b">
        <f ca="1"/>
        <v>0</v>
      </c>
      <c r="T76" s="7" t="b">
        <f ca="1"/>
        <v>0</v>
      </c>
      <c r="U76" s="7" t="b">
        <f ca="1"/>
        <v>0</v>
      </c>
      <c r="V76" s="7" t="b">
        <f ca="1"/>
        <v>0</v>
      </c>
    </row>
    <row r="77" spans="15:22">
      <c r="O77" s="13" t="b">
        <f ca="1"/>
        <v>0</v>
      </c>
      <c r="P77" s="7" t="b">
        <f ca="1"/>
        <v>0</v>
      </c>
      <c r="Q77" s="7" t="b">
        <f ca="1"/>
        <v>0</v>
      </c>
      <c r="R77" s="7" t="b">
        <f ca="1"/>
        <v>0</v>
      </c>
      <c r="S77" s="7" t="b">
        <f ca="1"/>
        <v>0</v>
      </c>
      <c r="T77" s="7" t="b">
        <f ca="1"/>
        <v>0</v>
      </c>
      <c r="U77" s="7" t="b">
        <f ca="1"/>
        <v>0</v>
      </c>
      <c r="V77" s="13" t="b">
        <f ca="1"/>
        <v>0</v>
      </c>
    </row>
    <row r="78" spans="15:22">
      <c r="O78" s="10"/>
      <c r="P78" s="10"/>
      <c r="Q78" s="10"/>
      <c r="R78" s="10"/>
      <c r="S78" s="10"/>
      <c r="T78" s="10"/>
      <c r="U78" s="10"/>
      <c r="V78" s="10"/>
    </row>
    <row r="80" spans="15:22">
      <c r="O80" t="s">
        <v>24</v>
      </c>
    </row>
    <row r="81" spans="15:31">
      <c r="O81" s="7" t="e" cm="1">
        <f t="array" aca="1" ref="O81:V88" ca="1">_xlfn.LET(_xlpm.files,"ABCDEFGH",
 _xlpm.bf,FIND(UPPER(LEFT(M12,1)),_xlpm.files),
 _xlpm.br,--MID(M12,2,99),
 _xlpm.me,VALUE(RIGHT(N13,1)),
 _xlpm.e,TEXT(3-_xlpm.me,"0"),
 _xlpm.ef,IF(3-_xlpm.me=1,1,-1),
 _xlpm.board,piecetype!A1:H8,
 _xlpm.code,livegame!I5:P12,
 _xlpm.cb,_xlfn.MAKEARRAY(8,8,_xlfn.LAMBDA(_xlpm.rr,_xlpm.cc,
        IF(AND(_xlpm.rr=_xlpm.br,_xlpm.cc=_xlpm.bf),"",
           _xlfn.LET(_xlpm.v,INDEX(_xlpm.code,_xlpm.rr,_xlpm.cc),IF(OR(_xlpm.v="",_xlpm.v=0,_xlpm.v="0"),"",_xlpm.v&amp;""))))),
 _xlpm.at,_xlfn.LAMBDA(_xlpm.rr,_xlpm.cc,IF(OR(_xlpm.rr&lt;1,_xlpm.rr&gt;8,_xlpm.cc&lt;1,_xlpm.cc&gt;8),"##",INDEX(_xlpm.cb,_xlpm.rr,_xlpm.cc))),
 _xlpm.ray,_xlfn.LAMBDA(_xlpm.tr,_xlpm.tc,_xlpm.dr,_xlpm.dc,_xlpm.pipes,
       INDEX(_xlfn.REDUCE({0,0},_xlfn.SEQUENCE(7),_xlfn.LAMBDA(_xlpm.acc,_xlpm.k,
          _xlfn.LET(_xlpm.done,INDEX(_xlpm.acc,1,1),_xlpm.r,_xlpm.tr+_xlpm.dr*_xlpm.k,_xlpm.c,_xlpm.tc+_xlpm.dc*_xlpm.k,_xlpm.p,_xlpm.at(_xlpm.r,_xlpm.c),
              IF(OR(_xlpm.done=1,_xlpm.p="##"),_xlpm.acc,
                 IF(_xlpm.p&lt;&gt;"",_xlfn.HSTACK(1,IF(ISNUMBER(SEARCH("|"&amp;_xlpm.p&amp;"|",_xlpm.pipes)),1,0)),_xlpm.acc))))),1,2)),
 _xlpm.attacked,_xlfn.LAMBDA(_xlpm.tr,_xlpm.tc,
    _xlfn.LET(
     _xlpm.kn,(_xlpm.at(_xlpm.tr-2,_xlpm.tc-1)="n"&amp;_xlpm.e)+(_xlpm.at(_xlpm.tr-2,_xlpm.tc+1)="n"&amp;_xlpm.e)+(_xlpm.at(_xlpm.tr-1,_xlpm.tc-2)="n"&amp;_xlpm.e)+(_xlpm.at(_xlpm.tr-1,_xlpm.tc+2)="n"&amp;_xlpm.e)+(_xlpm.at(_xlpm.tr+1,_xlpm.tc-2)="n"&amp;_xlpm.e)+(_xlpm.at(_xlpm.tr+1,_xlpm.tc+2)="n"&amp;_xlpm.e)+(_xlpm.at(_xlpm.tr+2,_xlpm.tc-1)="n"&amp;_xlpm.e)+(_xlpm.at(_xlpm.tr+2,_xlpm.tc+1)="n"&amp;_xlpm.e),
     _xlpm.kg,(_xlpm.at(_xlpm.tr-1,_xlpm.tc-1)="k"&amp;_xlpm.e)+(_xlpm.at(_xlpm.tr-1,_xlpm.tc)="k"&amp;_xlpm.e)+(_xlpm.at(_xlpm.tr-1,_xlpm.tc+1)="k"&amp;_xlpm.e)+(_xlpm.at(_xlpm.tr,_xlpm.tc-1)="k"&amp;_xlpm.e)+(_xlpm.at(_xlpm.tr,_xlpm.tc+1)="k"&amp;_xlpm.e)+(_xlpm.at(_xlpm.tr+1,_xlpm.tc-1)="k"&amp;_xlpm.e)+(_xlpm.at(_xlpm.tr+1,_xlpm.tc)="k"&amp;_xlpm.e)+(_xlpm.at(_xlpm.tr+1,_xlpm.tc+1)="k"&amp;_xlpm.e),
     _xlpm.pw,(_xlpm.at(_xlpm.tr-_xlpm.ef,_xlpm.tc-1)="p"&amp;_xlpm.e)+(_xlpm.at(_xlpm.tr-_xlpm.ef,_xlpm.tc+1)="p"&amp;_xlpm.e),
     _xlpm.rq,"|r"&amp;_xlpm.e&amp;"|q"&amp;_xlpm.e&amp;"|",
     _xlpm.bq,"|b"&amp;_xlpm.e&amp;"|q"&amp;_xlpm.e&amp;"|",
     _xlpm.sl,_xlpm.ray(_xlpm.tr,_xlpm.tc,-1,0,_xlpm.rq)+_xlpm.ray(_xlpm.tr,_xlpm.tc,1,0,_xlpm.rq)+_xlpm.ray(_xlpm.tr,_xlpm.tc,0,-1,_xlpm.rq)+_xlpm.ray(_xlpm.tr,_xlpm.tc,0,1,_xlpm.rq)+_xlpm.ray(_xlpm.tr,_xlpm.tc,-1,-1,_xlpm.bq)+_xlpm.ray(_xlpm.tr,_xlpm.tc,-1,1,_xlpm.bq)+_xlpm.ray(_xlpm.tr,_xlpm.tc,1,-1,_xlpm.bq)+_xlpm.ray(_xlpm.tr,_xlpm.tc,1,1,_xlpm.bq),
     --(_xlpm.kn+_xlpm.kg+_xlpm.pw+_xlpm.sl&gt;0))),
 _xlpm.r,_xlfn.SEQUENCE(8,,1,1)+0*_xlfn.SEQUENCE(1,8,1,1),
 _xlpm.c,_xlfn.SEQUENCE(1,8,1,1)+0*_xlfn.SEQUENCE(8,,1,1),
 _xlpm.dr,_xlpm.r-_xlpm.br,_xlpm.dc,_xlpm.c-_xlpm.bf,
 _xlpm.self,(_xlpm.dr=0)*(_xlpm.dc=0),
 _xlpm.adj,(ABS(_xlpm.dr)&lt;=1)*(ABS(_xlpm.dc)&lt;=1)*NOT(_xlpm.self),
 _xlpm.dest,IF(_xlpm.board="",0,VALUE(_xlpm.board)),
 _xlpm.threat,_xlfn.MAKEARRAY(8,8,_xlfn.LAMBDA(_xlpm.tr,_xlpm.tc,_xlpm.attacked(_xlpm.tr,_xlpm.tc))),
 _xlpm.legal,_xlpm.adj*((_xlpm.dest=0)+((_xlpm.dest&lt;&gt;0)*(_xlpm.dest&lt;&gt;_xlpm.me)))*(_xlpm.threat=0),
 _xlpm.legal=1)</f>
        <v>#VALUE!</v>
      </c>
      <c r="P81" s="7" t="e">
        <f ca="1"/>
        <v>#VALUE!</v>
      </c>
      <c r="Q81" s="7" t="e">
        <f ca="1"/>
        <v>#VALUE!</v>
      </c>
      <c r="R81" s="7" t="e">
        <f ca="1"/>
        <v>#VALUE!</v>
      </c>
      <c r="S81" s="7" t="e">
        <f ca="1"/>
        <v>#VALUE!</v>
      </c>
      <c r="T81" s="7" t="e">
        <f ca="1"/>
        <v>#VALUE!</v>
      </c>
      <c r="U81" s="7" t="e">
        <f ca="1"/>
        <v>#VALUE!</v>
      </c>
      <c r="V81" s="7" t="e">
        <f ca="1"/>
        <v>#VALUE!</v>
      </c>
    </row>
    <row r="82" spans="15:31">
      <c r="O82" s="7" t="e">
        <f ca="1"/>
        <v>#VALUE!</v>
      </c>
      <c r="P82" s="7" t="e">
        <f ca="1"/>
        <v>#VALUE!</v>
      </c>
      <c r="Q82" s="7" t="e">
        <f ca="1"/>
        <v>#VALUE!</v>
      </c>
      <c r="R82" s="7" t="e">
        <f ca="1"/>
        <v>#VALUE!</v>
      </c>
      <c r="S82" s="7" t="e">
        <f ca="1"/>
        <v>#VALUE!</v>
      </c>
      <c r="T82" s="7" t="e">
        <f ca="1"/>
        <v>#VALUE!</v>
      </c>
      <c r="U82" s="7" t="e">
        <f ca="1"/>
        <v>#VALUE!</v>
      </c>
      <c r="V82" s="7" t="e">
        <f ca="1"/>
        <v>#VALUE!</v>
      </c>
    </row>
    <row r="83" spans="15:31">
      <c r="O83" s="7" t="e">
        <f ca="1"/>
        <v>#VALUE!</v>
      </c>
      <c r="P83" s="7" t="e">
        <f ca="1"/>
        <v>#VALUE!</v>
      </c>
      <c r="Q83" s="7" t="e">
        <f ca="1"/>
        <v>#VALUE!</v>
      </c>
      <c r="R83" s="7" t="e">
        <f ca="1"/>
        <v>#VALUE!</v>
      </c>
      <c r="S83" s="7" t="e">
        <f ca="1"/>
        <v>#VALUE!</v>
      </c>
      <c r="T83" s="7" t="e">
        <f ca="1"/>
        <v>#VALUE!</v>
      </c>
      <c r="U83" s="7" t="e">
        <f ca="1"/>
        <v>#VALUE!</v>
      </c>
      <c r="V83" s="7" t="e">
        <f ca="1"/>
        <v>#VALUE!</v>
      </c>
    </row>
    <row r="84" spans="15:31">
      <c r="O84" s="7" t="e">
        <f ca="1"/>
        <v>#VALUE!</v>
      </c>
      <c r="P84" s="7" t="e">
        <f ca="1"/>
        <v>#VALUE!</v>
      </c>
      <c r="Q84" s="7" t="e">
        <f ca="1"/>
        <v>#VALUE!</v>
      </c>
      <c r="R84" s="7" t="e">
        <f ca="1"/>
        <v>#VALUE!</v>
      </c>
      <c r="S84" s="7" t="e">
        <f ca="1"/>
        <v>#VALUE!</v>
      </c>
      <c r="T84" s="7" t="e">
        <f ca="1"/>
        <v>#VALUE!</v>
      </c>
      <c r="U84" s="7" t="e">
        <f ca="1"/>
        <v>#VALUE!</v>
      </c>
      <c r="V84" s="7" t="e">
        <f ca="1"/>
        <v>#VALUE!</v>
      </c>
    </row>
    <row r="85" spans="15:31">
      <c r="O85" s="7" t="e">
        <f ca="1"/>
        <v>#VALUE!</v>
      </c>
      <c r="P85" s="7" t="e">
        <f ca="1"/>
        <v>#VALUE!</v>
      </c>
      <c r="Q85" s="7" t="e">
        <f ca="1"/>
        <v>#VALUE!</v>
      </c>
      <c r="R85" s="7" t="e">
        <f ca="1"/>
        <v>#VALUE!</v>
      </c>
      <c r="S85" s="7" t="e">
        <f ca="1"/>
        <v>#VALUE!</v>
      </c>
      <c r="T85" s="7" t="e">
        <f ca="1"/>
        <v>#VALUE!</v>
      </c>
      <c r="U85" s="7" t="e">
        <f ca="1"/>
        <v>#VALUE!</v>
      </c>
      <c r="V85" s="7" t="e">
        <f ca="1"/>
        <v>#VALUE!</v>
      </c>
    </row>
    <row r="86" spans="15:31">
      <c r="O86" s="7" t="e">
        <f ca="1"/>
        <v>#VALUE!</v>
      </c>
      <c r="P86" s="7" t="e">
        <f ca="1"/>
        <v>#VALUE!</v>
      </c>
      <c r="Q86" s="7" t="e">
        <f ca="1"/>
        <v>#VALUE!</v>
      </c>
      <c r="R86" s="7" t="e">
        <f ca="1"/>
        <v>#VALUE!</v>
      </c>
      <c r="S86" s="7" t="e">
        <f ca="1"/>
        <v>#VALUE!</v>
      </c>
      <c r="T86" s="7" t="e">
        <f ca="1"/>
        <v>#VALUE!</v>
      </c>
      <c r="U86" s="7" t="e">
        <f ca="1"/>
        <v>#VALUE!</v>
      </c>
      <c r="V86" s="7" t="e">
        <f ca="1"/>
        <v>#VALUE!</v>
      </c>
    </row>
    <row r="87" spans="15:31">
      <c r="O87" s="7" t="e">
        <f ca="1"/>
        <v>#VALUE!</v>
      </c>
      <c r="P87" s="7" t="e">
        <f ca="1"/>
        <v>#VALUE!</v>
      </c>
      <c r="Q87" s="7" t="e">
        <f ca="1"/>
        <v>#VALUE!</v>
      </c>
      <c r="R87" s="7" t="e">
        <f ca="1"/>
        <v>#VALUE!</v>
      </c>
      <c r="S87" s="7" t="e">
        <f ca="1"/>
        <v>#VALUE!</v>
      </c>
      <c r="T87" s="7" t="e">
        <f ca="1"/>
        <v>#VALUE!</v>
      </c>
      <c r="U87" s="7" t="e">
        <f ca="1"/>
        <v>#VALUE!</v>
      </c>
      <c r="V87" s="7" t="e">
        <f ca="1"/>
        <v>#VALUE!</v>
      </c>
    </row>
    <row r="88" spans="15:31">
      <c r="O88" s="7" t="e">
        <f ca="1"/>
        <v>#VALUE!</v>
      </c>
      <c r="P88" s="7" t="e">
        <f ca="1"/>
        <v>#VALUE!</v>
      </c>
      <c r="Q88" s="7" t="e">
        <f ca="1"/>
        <v>#VALUE!</v>
      </c>
      <c r="R88" s="7" t="e">
        <f ca="1"/>
        <v>#VALUE!</v>
      </c>
      <c r="S88" s="7" t="e">
        <f ca="1"/>
        <v>#VALUE!</v>
      </c>
      <c r="T88" s="7" t="e">
        <f ca="1"/>
        <v>#VALUE!</v>
      </c>
      <c r="U88" s="7" t="e">
        <f ca="1"/>
        <v>#VALUE!</v>
      </c>
      <c r="V88" s="7" t="e">
        <f ca="1"/>
        <v>#VALUE!</v>
      </c>
    </row>
    <row r="90" spans="15:31">
      <c r="X90" t="s">
        <v>34</v>
      </c>
    </row>
    <row r="91" spans="15:31">
      <c r="X91" s="7" t="b" cm="1">
        <f t="array" aca="1" ref="X91:AE98" ca="1">O70:V77</f>
        <v>0</v>
      </c>
      <c r="Y91" s="7" t="b">
        <f ca="1"/>
        <v>0</v>
      </c>
      <c r="Z91" s="7" t="b">
        <f ca="1"/>
        <v>0</v>
      </c>
      <c r="AA91" s="7" t="b">
        <f ca="1"/>
        <v>0</v>
      </c>
      <c r="AB91" s="7" t="b">
        <f ca="1"/>
        <v>0</v>
      </c>
      <c r="AC91" s="7" t="b">
        <f ca="1"/>
        <v>0</v>
      </c>
      <c r="AD91" s="7" t="b">
        <f ca="1"/>
        <v>0</v>
      </c>
      <c r="AE91" s="7" t="b">
        <f ca="1"/>
        <v>0</v>
      </c>
    </row>
    <row r="92" spans="15:31">
      <c r="X92" s="7" t="b">
        <f ca="1"/>
        <v>0</v>
      </c>
      <c r="Y92" s="7" t="b">
        <f ca="1"/>
        <v>0</v>
      </c>
      <c r="Z92" s="7" t="b">
        <f ca="1"/>
        <v>0</v>
      </c>
      <c r="AA92" s="7" t="b">
        <f ca="1"/>
        <v>0</v>
      </c>
      <c r="AB92" s="7" t="b">
        <f ca="1"/>
        <v>0</v>
      </c>
      <c r="AC92" s="7" t="b">
        <f ca="1"/>
        <v>0</v>
      </c>
      <c r="AD92" s="7" t="b">
        <f ca="1"/>
        <v>0</v>
      </c>
      <c r="AE92" s="7" t="b">
        <f ca="1"/>
        <v>0</v>
      </c>
    </row>
    <row r="93" spans="15:31">
      <c r="X93" s="7" t="b">
        <f ca="1"/>
        <v>0</v>
      </c>
      <c r="Y93" s="7" t="b">
        <f ca="1"/>
        <v>0</v>
      </c>
      <c r="Z93" s="7" t="b">
        <f ca="1"/>
        <v>0</v>
      </c>
      <c r="AA93" s="7" t="b">
        <f ca="1"/>
        <v>0</v>
      </c>
      <c r="AB93" s="7" t="b">
        <f ca="1"/>
        <v>0</v>
      </c>
      <c r="AC93" s="7" t="b">
        <f ca="1"/>
        <v>0</v>
      </c>
      <c r="AD93" s="7" t="b">
        <f ca="1"/>
        <v>0</v>
      </c>
      <c r="AE93" s="7" t="b">
        <f ca="1"/>
        <v>0</v>
      </c>
    </row>
    <row r="94" spans="15:31">
      <c r="X94" s="7" t="b">
        <f ca="1"/>
        <v>0</v>
      </c>
      <c r="Y94" s="7" t="b">
        <f ca="1"/>
        <v>0</v>
      </c>
      <c r="Z94" s="7" t="b">
        <f ca="1"/>
        <v>0</v>
      </c>
      <c r="AA94" s="7" t="b">
        <f ca="1"/>
        <v>0</v>
      </c>
      <c r="AB94" s="7" t="b">
        <f ca="1"/>
        <v>0</v>
      </c>
      <c r="AC94" s="7" t="b">
        <f ca="1"/>
        <v>0</v>
      </c>
      <c r="AD94" s="7" t="b">
        <f ca="1"/>
        <v>0</v>
      </c>
      <c r="AE94" s="7" t="b">
        <f ca="1"/>
        <v>0</v>
      </c>
    </row>
    <row r="95" spans="15:31">
      <c r="X95" s="7" t="b">
        <f ca="1"/>
        <v>0</v>
      </c>
      <c r="Y95" s="7" t="b">
        <f ca="1"/>
        <v>0</v>
      </c>
      <c r="Z95" s="7" t="b">
        <f ca="1"/>
        <v>0</v>
      </c>
      <c r="AA95" s="7" t="b">
        <f ca="1"/>
        <v>0</v>
      </c>
      <c r="AB95" s="7" t="b">
        <f ca="1"/>
        <v>0</v>
      </c>
      <c r="AC95" s="7" t="b">
        <f ca="1"/>
        <v>0</v>
      </c>
      <c r="AD95" s="7" t="b">
        <f ca="1"/>
        <v>0</v>
      </c>
      <c r="AE95" s="7" t="b">
        <f ca="1"/>
        <v>0</v>
      </c>
    </row>
    <row r="96" spans="15:31">
      <c r="X96" s="7" t="b">
        <f ca="1"/>
        <v>0</v>
      </c>
      <c r="Y96" s="7" t="b">
        <f ca="1"/>
        <v>0</v>
      </c>
      <c r="Z96" s="7" t="b">
        <f ca="1"/>
        <v>0</v>
      </c>
      <c r="AA96" s="7" t="b">
        <f ca="1"/>
        <v>0</v>
      </c>
      <c r="AB96" s="7" t="b">
        <f ca="1"/>
        <v>0</v>
      </c>
      <c r="AC96" s="7" t="b">
        <f ca="1"/>
        <v>0</v>
      </c>
      <c r="AD96" s="7" t="b">
        <f ca="1"/>
        <v>0</v>
      </c>
      <c r="AE96" s="7" t="b">
        <f ca="1"/>
        <v>0</v>
      </c>
    </row>
    <row r="97" spans="24:36">
      <c r="X97" s="7" t="b">
        <f ca="1"/>
        <v>0</v>
      </c>
      <c r="Y97" s="7" t="b">
        <f ca="1"/>
        <v>0</v>
      </c>
      <c r="Z97" s="7" t="b">
        <f ca="1"/>
        <v>0</v>
      </c>
      <c r="AA97" s="7" t="b">
        <f ca="1"/>
        <v>0</v>
      </c>
      <c r="AB97" s="7" t="b">
        <f ca="1"/>
        <v>0</v>
      </c>
      <c r="AC97" s="7" t="b">
        <f ca="1"/>
        <v>0</v>
      </c>
      <c r="AD97" s="7" t="b">
        <f ca="1"/>
        <v>0</v>
      </c>
      <c r="AE97" s="7" t="b">
        <f ca="1"/>
        <v>0</v>
      </c>
    </row>
    <row r="98" spans="24:36">
      <c r="X98" s="7" t="b">
        <f ca="1"/>
        <v>0</v>
      </c>
      <c r="Y98" s="7" t="b">
        <f ca="1"/>
        <v>0</v>
      </c>
      <c r="Z98" s="7" t="b">
        <f ca="1"/>
        <v>0</v>
      </c>
      <c r="AA98" s="7" t="b">
        <f ca="1"/>
        <v>0</v>
      </c>
      <c r="AB98" s="7" t="b">
        <f ca="1"/>
        <v>0</v>
      </c>
      <c r="AC98" s="7" t="b">
        <f ca="1"/>
        <v>0</v>
      </c>
      <c r="AD98" s="7" t="b">
        <f ca="1"/>
        <v>0</v>
      </c>
      <c r="AE98" s="7" t="b">
        <f ca="1"/>
        <v>0</v>
      </c>
    </row>
    <row r="99" spans="24:36">
      <c r="X99" t="s">
        <v>25</v>
      </c>
    </row>
    <row r="100" spans="24:36">
      <c r="X100" s="7" t="e" cm="1">
        <f t="array" aca="1" ref="X100" ca="1">_xlfn.SWITCH(LEFT(N13),"b",_xlfn.ANCHORARRAY(O15),"r",_xlfn.ANCHORARRAY(O26),"q",_xlfn.ANCHORARRAY(O37),"n",_xlfn.ANCHORARRAY(O48),"p",_xlfn.ANCHORARRAY(O59),"k",(_xlfn.ANCHORARRAY(O81)+_xlfn.ANCHORARRAY(O70))&gt;0)</f>
        <v>#N/A</v>
      </c>
      <c r="Y100" s="7"/>
      <c r="Z100" s="7"/>
      <c r="AA100" s="7"/>
      <c r="AB100" s="7"/>
      <c r="AC100" s="7"/>
      <c r="AD100" s="7"/>
      <c r="AE100" s="7"/>
    </row>
    <row r="101" spans="24:36">
      <c r="X101" s="7"/>
      <c r="Y101" s="7"/>
      <c r="Z101" s="7"/>
      <c r="AA101" s="7"/>
      <c r="AB101" s="7"/>
      <c r="AC101" s="7"/>
      <c r="AD101" s="7"/>
      <c r="AE101" s="7"/>
    </row>
    <row r="102" spans="24:36">
      <c r="X102" s="7"/>
      <c r="Y102" s="7"/>
      <c r="Z102" s="7"/>
      <c r="AA102" s="7"/>
      <c r="AB102" s="7"/>
      <c r="AC102" s="7"/>
      <c r="AD102" s="7"/>
      <c r="AE102" s="7"/>
    </row>
    <row r="103" spans="24:36">
      <c r="X103" s="7"/>
      <c r="Y103" s="7"/>
      <c r="Z103" s="7"/>
      <c r="AA103" s="7"/>
      <c r="AB103" s="7"/>
      <c r="AC103" s="7"/>
      <c r="AD103" s="7"/>
      <c r="AE103" s="7"/>
    </row>
    <row r="104" spans="24:36">
      <c r="X104" s="7"/>
      <c r="Y104" s="7"/>
      <c r="Z104" s="7"/>
      <c r="AA104" s="7"/>
      <c r="AB104" s="7"/>
      <c r="AC104" s="7"/>
      <c r="AD104" s="7"/>
      <c r="AE104" s="7"/>
    </row>
    <row r="105" spans="24:36">
      <c r="X105" s="7"/>
      <c r="Y105" s="7"/>
      <c r="Z105" s="7"/>
      <c r="AA105" s="7"/>
      <c r="AB105" s="7"/>
      <c r="AC105" s="7"/>
      <c r="AD105" s="7"/>
      <c r="AE105" s="7"/>
    </row>
    <row r="106" spans="24:36">
      <c r="X106" s="7"/>
      <c r="Y106" s="7"/>
      <c r="Z106" s="7"/>
      <c r="AA106" s="7"/>
      <c r="AB106" s="7"/>
      <c r="AC106" s="7"/>
      <c r="AD106" s="7"/>
      <c r="AE106" s="7"/>
    </row>
    <row r="107" spans="24:36">
      <c r="X107" s="7"/>
      <c r="Y107" s="7"/>
      <c r="Z107" s="7"/>
      <c r="AA107" s="7"/>
      <c r="AB107" s="7"/>
      <c r="AC107" s="7"/>
      <c r="AD107" s="7"/>
      <c r="AE107" s="7"/>
    </row>
    <row r="108" spans="24:36">
      <c r="AG108" t="s">
        <v>26</v>
      </c>
      <c r="AI108" t="s">
        <v>28</v>
      </c>
    </row>
    <row r="109" spans="24:36">
      <c r="AG109" t="e">
        <f ca="1">IF(L11,"",J9)</f>
        <v>#N/A</v>
      </c>
      <c r="AH109" t="s">
        <v>27</v>
      </c>
      <c r="AI109" t="str">
        <f ca="1">M12</f>
        <v/>
      </c>
      <c r="AJ109" t="s">
        <v>29</v>
      </c>
    </row>
    <row r="110" spans="24:36">
      <c r="AH110" t="b" cm="1">
        <f t="array" aca="1" ref="AH110" ca="1">IFERROR(IF(INDEX($X$91:$AE$98, ROW(INDIRECT(AG109)), COLUMN(INDIRECT(AG109)))=TRUE, "CASTLE", IF(INDEX($X$100:$AE$107, ROW(INDIRECT(AG109)), COLUMN(INDIRECT(AG109)))=TRUE,TRUE,FALSE)),FALSE)</f>
        <v>0</v>
      </c>
      <c r="AJ110" t="str">
        <f ca="1">N13</f>
        <v/>
      </c>
    </row>
  </sheetData>
  <conditionalFormatting sqref="A1:H8 O70:V78">
    <cfRule type="containsText" dxfId="12" priority="11" stopIfTrue="1" operator="containsText" text="TRUE">
      <formula>NOT(ISERROR(SEARCH("TRUE",A1)))</formula>
    </cfRule>
  </conditionalFormatting>
  <conditionalFormatting sqref="O15:V22">
    <cfRule type="containsText" dxfId="11" priority="9" stopIfTrue="1" operator="containsText" text="TRUE">
      <formula>NOT(ISERROR(SEARCH("TRUE",O15)))</formula>
    </cfRule>
  </conditionalFormatting>
  <conditionalFormatting sqref="O26:V33">
    <cfRule type="containsText" dxfId="10" priority="8" stopIfTrue="1" operator="containsText" text="TRUE">
      <formula>NOT(ISERROR(SEARCH("TRUE",O26)))</formula>
    </cfRule>
  </conditionalFormatting>
  <conditionalFormatting sqref="O37:V44">
    <cfRule type="containsText" dxfId="9" priority="7" stopIfTrue="1" operator="containsText" text="TRUE">
      <formula>NOT(ISERROR(SEARCH("TRUE",O37)))</formula>
    </cfRule>
  </conditionalFormatting>
  <conditionalFormatting sqref="O48:V55">
    <cfRule type="containsText" dxfId="8" priority="6" stopIfTrue="1" operator="containsText" text="TRUE">
      <formula>NOT(ISERROR(SEARCH("TRUE",O48)))</formula>
    </cfRule>
  </conditionalFormatting>
  <conditionalFormatting sqref="O59:V66">
    <cfRule type="containsText" dxfId="7" priority="5" stopIfTrue="1" operator="containsText" text="TRUE">
      <formula>NOT(ISERROR(SEARCH("TRUE",O59)))</formula>
    </cfRule>
  </conditionalFormatting>
  <conditionalFormatting sqref="O81:V88">
    <cfRule type="containsText" dxfId="6" priority="4" stopIfTrue="1" operator="containsText" text="TRUE">
      <formula>NOT(ISERROR(SEARCH("TRUE",O81)))</formula>
    </cfRule>
  </conditionalFormatting>
  <conditionalFormatting sqref="X91:AE98">
    <cfRule type="containsText" dxfId="5" priority="1" stopIfTrue="1" operator="containsText" text="TRUE">
      <formula>NOT(ISERROR(SEARCH("TRUE",X91)))</formula>
    </cfRule>
  </conditionalFormatting>
  <conditionalFormatting sqref="X100:AE107">
    <cfRule type="containsText" dxfId="4" priority="3" stopIfTrue="1" operator="containsText" text="TRUE">
      <formula>NOT(ISERROR(SEARCH("TRUE",X100)))</formula>
    </cfRule>
  </conditionalFormatting>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D625F-4811-4B49-860C-82C2145579E3}">
  <dimension ref="A1:X37"/>
  <sheetViews>
    <sheetView topLeftCell="Q9" zoomScale="173" workbookViewId="0">
      <selection activeCell="S17" sqref="S17"/>
    </sheetView>
  </sheetViews>
  <sheetFormatPr baseColWidth="10" defaultRowHeight="16"/>
  <cols>
    <col min="1" max="1" width="12" customWidth="1"/>
    <col min="2" max="2" width="9.6640625" customWidth="1"/>
    <col min="3" max="3" width="7.33203125" customWidth="1"/>
    <col min="4" max="4" width="10.1640625" customWidth="1"/>
    <col min="5" max="16" width="2.83203125" customWidth="1"/>
  </cols>
  <sheetData>
    <row r="1" spans="1:21">
      <c r="B1" s="4" t="str">
        <f>IF(R16=1,"white","black")</f>
        <v>white</v>
      </c>
      <c r="C1" t="b">
        <f>Sheet1!K2</f>
        <v>1</v>
      </c>
      <c r="U1">
        <f>IF($C$1,0,IF($B$4=TRUE,U1+1,U1))</f>
        <v>0</v>
      </c>
    </row>
    <row r="2" spans="1:21">
      <c r="A2" t="str" cm="1">
        <f t="array" aca="1" ref="A2:D4" ca="1">IF(Engine!$N$6,_xlfn.VSTACK(_xlfn.HSTACK("target pos:","","from pos:",""),_xlfn.HSTACK(Engine!$N$4,"can move:",Engine!$N$3,"type:"),_xlfn.HSTACK("",AND(Engine!$N$3&lt;&gt;"",Engine!$N$4&lt;&gt;"",Engine!$N$5&lt;&gt;""),"",Engine!$N$5)),inputsimplified!AG108:AJ110)</f>
        <v>target pos:</v>
      </c>
      <c r="B2" s="8">
        <f ca="1"/>
        <v>0</v>
      </c>
      <c r="C2" t="str">
        <f ca="1"/>
        <v>from pos:</v>
      </c>
      <c r="D2" s="8">
        <f ca="1"/>
        <v>0</v>
      </c>
    </row>
    <row r="3" spans="1:21">
      <c r="A3" t="e">
        <f ca="1"/>
        <v>#N/A</v>
      </c>
      <c r="B3" t="str">
        <f ca="1"/>
        <v>can move:</v>
      </c>
      <c r="C3" t="str">
        <f ca="1"/>
        <v/>
      </c>
      <c r="D3" t="str">
        <f ca="1"/>
        <v>type:</v>
      </c>
    </row>
    <row r="4" spans="1:21">
      <c r="A4" s="8">
        <f ca="1"/>
        <v>0</v>
      </c>
      <c r="B4" t="b">
        <f ca="1"/>
        <v>0</v>
      </c>
      <c r="C4" s="8">
        <f ca="1"/>
        <v>0</v>
      </c>
      <c r="D4" t="str">
        <f ca="1"/>
        <v/>
      </c>
    </row>
    <row r="5" spans="1:21">
      <c r="I5" s="1" t="str" cm="1">
        <f t="array" aca="1" ref="I5" ca="1">IFERROR(IF($C$1,base!A1,
IF(IFERROR(_xlfn.IFNA($B$4,FALSE),FALSE)="CASTLE",
IF(SUBSTITUTE(CELL("address",A1),"$","")=UPPER($A$3),$D$4,
IF(SUBSTITUTE(CELL("address",A1),"$","")=UPPER($C$3),"",IF(NOT(ISERR(FIND("B",UPPER($A$3)))),
IF(SUBSTITUTE(CELL("address",A1),"$","")=REPLACE(UPPER($A$3),1,1,"C"),REPLACE(UPPER($D$4),1,1,"r"),
IF(SUBSTITUTE(CELL("address",A1),"$","")=REPLACE(UPPER($A$3),1,1,"A"),"",I5)),
IF(SUBSTITUTE(CELL("address",A1),"$","")=REPLACE(UPPER($A$3),1,1,"E"),REPLACE(UPPER($D$4),1,1,"r"),
IF(SUBSTITUTE(CELL("address",A1),"$","")=REPLACE(UPPER($A$3),1,1,"H"),"",I5))))),
IF($C$1,base!A1,IF(IFERROR(_xlfn.IFNA($B$4,FALSE),FALSE),IF(SUBSTITUTE(CELL("address",A1),"$","")=UPPER($A$3),SUBSTITUTE($D$4,"p","q"),IF(SUBSTITUTE(CELL("address",A1),"$","")=UPPER($C$3),"",I5)),I5)))),I5)</f>
        <v>r1</v>
      </c>
      <c r="J5" s="1" t="str" cm="1">
        <f t="array" aca="1" ref="J5" ca="1">IFERROR(IF($C$1,base!B1,
IF(IFERROR(_xlfn.IFNA($B$4,FALSE),FALSE)="CASTLE",
IF(SUBSTITUTE(CELL("address",B1),"$","")=UPPER($A$3),$D$4,
IF(SUBSTITUTE(CELL("address",B1),"$","")=UPPER($C$3),"",IF(NOT(ISERR(FIND("B",UPPER($A$3)))),
IF(SUBSTITUTE(CELL("address",B1),"$","")=REPLACE(UPPER($A$3),1,1,"C"),REPLACE(UPPER($D$4),1,1,"r"),
IF(SUBSTITUTE(CELL("address",B1),"$","")=REPLACE(UPPER($A$3),1,1,"A"),"",J5)),
IF(SUBSTITUTE(CELL("address",B1),"$","")=REPLACE(UPPER($A$3),1,1,"E"),REPLACE(UPPER($D$4),1,1,"r"),
IF(SUBSTITUTE(CELL("address",B1),"$","")=REPLACE(UPPER($A$3),1,1,"H"),"",J5))))),
IF($C$1,base!B1,IF(IFERROR(_xlfn.IFNA($B$4,FALSE),FALSE),IF(SUBSTITUTE(CELL("address",B1),"$","")=UPPER($A$3),SUBSTITUTE($D$4,"p","q"),IF(SUBSTITUTE(CELL("address",B1),"$","")=UPPER($C$3),"",J5)),J5)))),J5)</f>
        <v>n1</v>
      </c>
      <c r="K5" s="1" t="str" cm="1">
        <f t="array" aca="1" ref="K5" ca="1">IFERROR(IF($C$1,base!C1,
IF(IFERROR(_xlfn.IFNA($B$4,FALSE),FALSE)="CASTLE",
IF(SUBSTITUTE(CELL("address",C1),"$","")=UPPER($A$3),$D$4,
IF(SUBSTITUTE(CELL("address",C1),"$","")=UPPER($C$3),"",IF(NOT(ISERR(FIND("B",UPPER($A$3)))),
IF(SUBSTITUTE(CELL("address",C1),"$","")=REPLACE(UPPER($A$3),1,1,"C"),REPLACE(UPPER($D$4),1,1,"r"),
IF(SUBSTITUTE(CELL("address",C1),"$","")=REPLACE(UPPER($A$3),1,1,"A"),"",K5)),
IF(SUBSTITUTE(CELL("address",C1),"$","")=REPLACE(UPPER($A$3),1,1,"E"),REPLACE(UPPER($D$4),1,1,"r"),
IF(SUBSTITUTE(CELL("address",C1),"$","")=REPLACE(UPPER($A$3),1,1,"H"),"",K5))))),
IF($C$1,base!C1,IF(IFERROR(_xlfn.IFNA($B$4,FALSE),FALSE),IF(SUBSTITUTE(CELL("address",C1),"$","")=UPPER($A$3),SUBSTITUTE($D$4,"p","q"),IF(SUBSTITUTE(CELL("address",C1),"$","")=UPPER($C$3),"",K5)),K5)))),K5)</f>
        <v>b1</v>
      </c>
      <c r="L5" s="1" t="str" cm="1">
        <f t="array" aca="1" ref="L5" ca="1">IFERROR(IF($C$1,base!D1,
IF(IFERROR(_xlfn.IFNA($B$4,FALSE),FALSE)="CASTLE",
IF(SUBSTITUTE(CELL("address",D1),"$","")=UPPER($A$3),$D$4,
IF(SUBSTITUTE(CELL("address",D1),"$","")=UPPER($C$3),"",IF(NOT(ISERR(FIND("B",UPPER($A$3)))),
IF(SUBSTITUTE(CELL("address",D1),"$","")=REPLACE(UPPER($A$3),1,1,"C"),REPLACE(UPPER($D$4),1,1,"r"),
IF(SUBSTITUTE(CELL("address",D1),"$","")=REPLACE(UPPER($A$3),1,1,"A"),"",L5)),
IF(SUBSTITUTE(CELL("address",D1),"$","")=REPLACE(UPPER($A$3),1,1,"E"),REPLACE(UPPER($D$4),1,1,"r"),
IF(SUBSTITUTE(CELL("address",D1),"$","")=REPLACE(UPPER($A$3),1,1,"H"),"",L5))))),
IF($C$1,base!D1,IF(IFERROR(_xlfn.IFNA($B$4,FALSE),FALSE),IF(SUBSTITUTE(CELL("address",D1),"$","")=UPPER($A$3),SUBSTITUTE($D$4,"p","q"),IF(SUBSTITUTE(CELL("address",D1),"$","")=UPPER($C$3),"",L5)),L5)))),L5)</f>
        <v>k1</v>
      </c>
      <c r="M5" s="1" t="str" cm="1">
        <f t="array" aca="1" ref="M5" ca="1">IFERROR(IF($C$1,base!E1,
IF(IFERROR(_xlfn.IFNA($B$4,FALSE),FALSE)="CASTLE",
IF(SUBSTITUTE(CELL("address",E1),"$","")=UPPER($A$3),$D$4,
IF(SUBSTITUTE(CELL("address",E1),"$","")=UPPER($C$3),"",IF(NOT(ISERR(FIND("B",UPPER($A$3)))),
IF(SUBSTITUTE(CELL("address",E1),"$","")=REPLACE(UPPER($A$3),1,1,"C"),REPLACE(UPPER($D$4),1,1,"r"),
IF(SUBSTITUTE(CELL("address",E1),"$","")=REPLACE(UPPER($A$3),1,1,"A"),"",M5)),
IF(SUBSTITUTE(CELL("address",E1),"$","")=REPLACE(UPPER($A$3),1,1,"E"),REPLACE(UPPER($D$4),1,1,"r"),
IF(SUBSTITUTE(CELL("address",E1),"$","")=REPLACE(UPPER($A$3),1,1,"H"),"",M5))))),
IF($C$1,base!E1,IF(IFERROR(_xlfn.IFNA($B$4,FALSE),FALSE),IF(SUBSTITUTE(CELL("address",E1),"$","")=UPPER($A$3),SUBSTITUTE($D$4,"p","q"),IF(SUBSTITUTE(CELL("address",E1),"$","")=UPPER($C$3),"",M5)),M5)))),M5)</f>
        <v>q1</v>
      </c>
      <c r="N5" s="1" t="str" cm="1">
        <f t="array" aca="1" ref="N5" ca="1">IFERROR(IF($C$1,base!F1,
IF(IFERROR(_xlfn.IFNA($B$4,FALSE),FALSE)="CASTLE",
IF(SUBSTITUTE(CELL("address",F1),"$","")=UPPER($A$3),$D$4,
IF(SUBSTITUTE(CELL("address",F1),"$","")=UPPER($C$3),"",IF(NOT(ISERR(FIND("B",UPPER($A$3)))),
IF(SUBSTITUTE(CELL("address",F1),"$","")=REPLACE(UPPER($A$3),1,1,"C"),REPLACE(UPPER($D$4),1,1,"r"),
IF(SUBSTITUTE(CELL("address",F1),"$","")=REPLACE(UPPER($A$3),1,1,"A"),"",N5)),
IF(SUBSTITUTE(CELL("address",F1),"$","")=REPLACE(UPPER($A$3),1,1,"E"),REPLACE(UPPER($D$4),1,1,"r"),
IF(SUBSTITUTE(CELL("address",F1),"$","")=REPLACE(UPPER($A$3),1,1,"H"),"",N5))))),
IF($C$1,base!F1,IF(IFERROR(_xlfn.IFNA($B$4,FALSE),FALSE),IF(SUBSTITUTE(CELL("address",F1),"$","")=UPPER($A$3),SUBSTITUTE($D$4,"p","q"),IF(SUBSTITUTE(CELL("address",F1),"$","")=UPPER($C$3),"",N5)),N5)))),N5)</f>
        <v>b1</v>
      </c>
      <c r="O5" s="1" t="str" cm="1">
        <f t="array" aca="1" ref="O5" ca="1">IFERROR(IF($C$1,base!G1,
IF(IFERROR(_xlfn.IFNA($B$4,FALSE),FALSE)="CASTLE",
IF(SUBSTITUTE(CELL("address",G1),"$","")=UPPER($A$3),$D$4,
IF(SUBSTITUTE(CELL("address",G1),"$","")=UPPER($C$3),"",IF(NOT(ISERR(FIND("B",UPPER($A$3)))),
IF(SUBSTITUTE(CELL("address",G1),"$","")=REPLACE(UPPER($A$3),1,1,"C"),REPLACE(UPPER($D$4),1,1,"r"),
IF(SUBSTITUTE(CELL("address",G1),"$","")=REPLACE(UPPER($A$3),1,1,"A"),"",O5)),
IF(SUBSTITUTE(CELL("address",G1),"$","")=REPLACE(UPPER($A$3),1,1,"E"),REPLACE(UPPER($D$4),1,1,"r"),
IF(SUBSTITUTE(CELL("address",G1),"$","")=REPLACE(UPPER($A$3),1,1,"H"),"",O5))))),
IF($C$1,base!G1,IF(IFERROR(_xlfn.IFNA($B$4,FALSE),FALSE),IF(SUBSTITUTE(CELL("address",G1),"$","")=UPPER($A$3),SUBSTITUTE($D$4,"p","q"),IF(SUBSTITUTE(CELL("address",G1),"$","")=UPPER($C$3),"",O5)),O5)))),O5)</f>
        <v>n1</v>
      </c>
      <c r="P5" s="1" t="str" cm="1">
        <f t="array" aca="1" ref="P5" ca="1">IFERROR(IF($C$1,base!H1,
IF(IFERROR(_xlfn.IFNA($B$4,FALSE),FALSE)="CASTLE",
IF(SUBSTITUTE(CELL("address",H1),"$","")=UPPER($A$3),$D$4,
IF(SUBSTITUTE(CELL("address",H1),"$","")=UPPER($C$3),"",IF(NOT(ISERR(FIND("B",UPPER($A$3)))),
IF(SUBSTITUTE(CELL("address",H1),"$","")=REPLACE(UPPER($A$3),1,1,"C"),REPLACE(UPPER($D$4),1,1,"r"),
IF(SUBSTITUTE(CELL("address",H1),"$","")=REPLACE(UPPER($A$3),1,1,"A"),"",P5)),
IF(SUBSTITUTE(CELL("address",H1),"$","")=REPLACE(UPPER($A$3),1,1,"E"),REPLACE(UPPER($D$4),1,1,"r"),
IF(SUBSTITUTE(CELL("address",H1),"$","")=REPLACE(UPPER($A$3),1,1,"H"),"",P5))))),
IF($C$1,base!H1,IF(IFERROR(_xlfn.IFNA($B$4,FALSE),FALSE),IF(SUBSTITUTE(CELL("address",H1),"$","")=UPPER($A$3),SUBSTITUTE($D$4,"p","q"),IF(SUBSTITUTE(CELL("address",H1),"$","")=UPPER($C$3),"",P5)),P5)))),P5)</f>
        <v>r1</v>
      </c>
    </row>
    <row r="6" spans="1:21">
      <c r="I6" s="1" t="str" cm="1">
        <f t="array" aca="1" ref="I6" ca="1">IFERROR(IF($C$1,base!A2,
 IF(($B$4=TRUE),
  IF(SUBSTITUTE(CELL("address",A2),"$","")=UPPER($A$3),$D$4,
   IF(SUBSTITUTE(CELL("address",A2),"$","")=UPPER($C$3),"",
    IF(AND(UPPER(LEFT($D$4,1))="P",
           SUBSTITUTE(CELL("address",A2),"$","")=UPPER(LEFT($A$3,1)&amp;(--MID($A$3,2,99)-IF(RIGHT($D$4,1)="1",1,-1))),
           UPPER(I6)="P"&amp;IF(RIGHT($D$4,1)="1","2","1"),
           OR(inputsimplified!$K$10="",inputsimplified!$K$10=0)),
       "",
       I6))),
  I6)),I6)</f>
        <v>p1</v>
      </c>
      <c r="J6" s="1" t="str" cm="1">
        <f t="array" aca="1" ref="J6" ca="1">IFERROR(IF($C$1,base!B2,
 IF(($B$4=TRUE),
  IF(SUBSTITUTE(CELL("address",B2),"$","")=UPPER($A$3),$D$4,
   IF(SUBSTITUTE(CELL("address",B2),"$","")=UPPER($C$3),"",
    IF(AND(UPPER(LEFT($D$4,1))="P",
           SUBSTITUTE(CELL("address",B2),"$","")=UPPER(LEFT($A$3,1)&amp;(--MID($A$3,2,99)-IF(RIGHT($D$4,1)="1",1,-1))),
           UPPER(J6)="P"&amp;IF(RIGHT($D$4,1)="1","2","1"),
           OR(inputsimplified!$K$10="",inputsimplified!$K$10=0)),
       "",
       J6))),
  J6)),J6)</f>
        <v>p1</v>
      </c>
      <c r="K6" s="1" t="str" cm="1">
        <f t="array" aca="1" ref="K6" ca="1">IFERROR(IF($C$1,base!C2,
 IF(($B$4=TRUE),
  IF(SUBSTITUTE(CELL("address",C2),"$","")=UPPER($A$3),$D$4,
   IF(SUBSTITUTE(CELL("address",C2),"$","")=UPPER($C$3),"",
    IF(AND(UPPER(LEFT($D$4,1))="P",
           SUBSTITUTE(CELL("address",C2),"$","")=UPPER(LEFT($A$3,1)&amp;(--MID($A$3,2,99)-IF(RIGHT($D$4,1)="1",1,-1))),
           UPPER(K6)="P"&amp;IF(RIGHT($D$4,1)="1","2","1"),
           OR(inputsimplified!$K$10="",inputsimplified!$K$10=0)),
       "",
       K6))),
  K6)),K6)</f>
        <v>p1</v>
      </c>
      <c r="L6" s="1" t="str" cm="1">
        <f t="array" aca="1" ref="L6" ca="1">IFERROR(IF($C$1,base!D2,
 IF(($B$4=TRUE),
  IF(SUBSTITUTE(CELL("address",D2),"$","")=UPPER($A$3),$D$4,
   IF(SUBSTITUTE(CELL("address",D2),"$","")=UPPER($C$3),"",
    IF(AND(UPPER(LEFT($D$4,1))="P",
           SUBSTITUTE(CELL("address",D2),"$","")=UPPER(LEFT($A$3,1)&amp;(--MID($A$3,2,99)-IF(RIGHT($D$4,1)="1",1,-1))),
           UPPER(L6)="P"&amp;IF(RIGHT($D$4,1)="1","2","1"),
           OR(inputsimplified!$K$10="",inputsimplified!$K$10=0)),
       "",
       L6))),
  L6)),L6)</f>
        <v>p1</v>
      </c>
      <c r="M6" s="1" t="str" cm="1">
        <f t="array" aca="1" ref="M6" ca="1">IFERROR(IF($C$1,base!E2,
 IF(($B$4=TRUE),
  IF(SUBSTITUTE(CELL("address",E2),"$","")=UPPER($A$3),$D$4,
   IF(SUBSTITUTE(CELL("address",E2),"$","")=UPPER($C$3),"",
    IF(AND(UPPER(LEFT($D$4,1))="P",
           SUBSTITUTE(CELL("address",E2),"$","")=UPPER(LEFT($A$3,1)&amp;(--MID($A$3,2,99)-IF(RIGHT($D$4,1)="1",1,-1))),
           UPPER(M6)="P"&amp;IF(RIGHT($D$4,1)="1","2","1"),
           OR(inputsimplified!$K$10="",inputsimplified!$K$10=0)),
       "",
       M6))),
  M6)),M6)</f>
        <v>p1</v>
      </c>
      <c r="N6" s="1" t="str" cm="1">
        <f t="array" aca="1" ref="N6" ca="1">IFERROR(IF($C$1,base!F2,
 IF(($B$4=TRUE),
  IF(SUBSTITUTE(CELL("address",F2),"$","")=UPPER($A$3),$D$4,
   IF(SUBSTITUTE(CELL("address",F2),"$","")=UPPER($C$3),"",
    IF(AND(UPPER(LEFT($D$4,1))="P",
           SUBSTITUTE(CELL("address",F2),"$","")=UPPER(LEFT($A$3,1)&amp;(--MID($A$3,2,99)-IF(RIGHT($D$4,1)="1",1,-1))),
           UPPER(N6)="P"&amp;IF(RIGHT($D$4,1)="1","2","1"),
           OR(inputsimplified!$K$10="",inputsimplified!$K$10=0)),
       "",
       N6))),
  N6)),N6)</f>
        <v>p1</v>
      </c>
      <c r="O6" s="1" t="str" cm="1">
        <f t="array" aca="1" ref="O6" ca="1">IFERROR(IF($C$1,base!G2,
 IF(($B$4=TRUE),
  IF(SUBSTITUTE(CELL("address",G2),"$","")=UPPER($A$3),$D$4,
   IF(SUBSTITUTE(CELL("address",G2),"$","")=UPPER($C$3),"",
    IF(AND(UPPER(LEFT($D$4,1))="P",
           SUBSTITUTE(CELL("address",G2),"$","")=UPPER(LEFT($A$3,1)&amp;(--MID($A$3,2,99)-IF(RIGHT($D$4,1)="1",1,-1))),
           UPPER(O6)="P"&amp;IF(RIGHT($D$4,1)="1","2","1"),
           OR(inputsimplified!$K$10="",inputsimplified!$K$10=0)),
       "",
       O6))),
  O6)),O6)</f>
        <v>p1</v>
      </c>
      <c r="P6" s="1" t="str" cm="1">
        <f t="array" aca="1" ref="P6" ca="1">IFERROR(IF($C$1,base!H2,
 IF(($B$4=TRUE),
  IF(SUBSTITUTE(CELL("address",H2),"$","")=UPPER($A$3),$D$4,
   IF(SUBSTITUTE(CELL("address",H2),"$","")=UPPER($C$3),"",
    IF(AND(UPPER(LEFT($D$4,1))="P",
           SUBSTITUTE(CELL("address",H2),"$","")=UPPER(LEFT($A$3,1)&amp;(--MID($A$3,2,99)-IF(RIGHT($D$4,1)="1",1,-1))),
           UPPER(P6)="P"&amp;IF(RIGHT($D$4,1)="1","2","1"),
           OR(inputsimplified!$K$10="",inputsimplified!$K$10=0)),
       "",
       P6))),
  P6)),P6)</f>
        <v>p1</v>
      </c>
    </row>
    <row r="7" spans="1:21">
      <c r="I7" s="1" cm="1">
        <f t="array" aca="1" ref="I7" ca="1">IFERROR(IF($C$1,base!A3,
 IF(($B$4=TRUE),
  IF(SUBSTITUTE(CELL("address",A3),"$","")=UPPER($A$3),$D$4,
   IF(SUBSTITUTE(CELL("address",A3),"$","")=UPPER($C$3),"",
    IF(AND(UPPER(LEFT($D$4,1))="P",
           SUBSTITUTE(CELL("address",A3),"$","")=UPPER(LEFT($A$3,1)&amp;(--MID($A$3,2,99)-IF(RIGHT($D$4,1)="1",1,-1))),
           UPPER(I7)="P"&amp;IF(RIGHT($D$4,1)="1","2","1"),
           OR(inputsimplified!$K$10="",inputsimplified!$K$10=0)),
       "",
       I7))),
  I7)),I7)</f>
        <v>0</v>
      </c>
      <c r="J7" s="1" cm="1">
        <f t="array" aca="1" ref="J7" ca="1">IFERROR(IF($C$1,base!B3,
 IF(($B$4=TRUE),
  IF(SUBSTITUTE(CELL("address",B3),"$","")=UPPER($A$3),$D$4,
   IF(SUBSTITUTE(CELL("address",B3),"$","")=UPPER($C$3),"",
    IF(AND(UPPER(LEFT($D$4,1))="P",
           SUBSTITUTE(CELL("address",B3),"$","")=UPPER(LEFT($A$3,1)&amp;(--MID($A$3,2,99)-IF(RIGHT($D$4,1)="1",1,-1))),
           UPPER(J7)="P"&amp;IF(RIGHT($D$4,1)="1","2","1"),
           OR(inputsimplified!$K$10="",inputsimplified!$K$10=0)),
       "",
       J7))),
  J7)),J7)</f>
        <v>0</v>
      </c>
      <c r="K7" s="1" cm="1">
        <f t="array" aca="1" ref="K7" ca="1">IFERROR(IF($C$1,base!C3,
 IF(($B$4=TRUE),
  IF(SUBSTITUTE(CELL("address",C3),"$","")=UPPER($A$3),$D$4,
   IF(SUBSTITUTE(CELL("address",C3),"$","")=UPPER($C$3),"",
    IF(AND(UPPER(LEFT($D$4,1))="P",
           SUBSTITUTE(CELL("address",C3),"$","")=UPPER(LEFT($A$3,1)&amp;(--MID($A$3,2,99)-IF(RIGHT($D$4,1)="1",1,-1))),
           UPPER(K7)="P"&amp;IF(RIGHT($D$4,1)="1","2","1"),
           OR(inputsimplified!$K$10="",inputsimplified!$K$10=0)),
       "",
       K7))),
  K7)),K7)</f>
        <v>0</v>
      </c>
      <c r="L7" s="1" cm="1">
        <f t="array" aca="1" ref="L7" ca="1">IFERROR(IF($C$1,base!D3,
 IF(($B$4=TRUE),
  IF(SUBSTITUTE(CELL("address",D3),"$","")=UPPER($A$3),$D$4,
   IF(SUBSTITUTE(CELL("address",D3),"$","")=UPPER($C$3),"",
    IF(AND(UPPER(LEFT($D$4,1))="P",
           SUBSTITUTE(CELL("address",D3),"$","")=UPPER(LEFT($A$3,1)&amp;(--MID($A$3,2,99)-IF(RIGHT($D$4,1)="1",1,-1))),
           UPPER(L7)="P"&amp;IF(RIGHT($D$4,1)="1","2","1"),
           OR(inputsimplified!$K$10="",inputsimplified!$K$10=0)),
       "",
       L7))),
  L7)),L7)</f>
        <v>0</v>
      </c>
      <c r="M7" s="1" cm="1">
        <f t="array" aca="1" ref="M7" ca="1">IFERROR(IF($C$1,base!E3,
 IF(($B$4=TRUE),
  IF(SUBSTITUTE(CELL("address",E3),"$","")=UPPER($A$3),$D$4,
   IF(SUBSTITUTE(CELL("address",E3),"$","")=UPPER($C$3),"",
    IF(AND(UPPER(LEFT($D$4,1))="P",
           SUBSTITUTE(CELL("address",E3),"$","")=UPPER(LEFT($A$3,1)&amp;(--MID($A$3,2,99)-IF(RIGHT($D$4,1)="1",1,-1))),
           UPPER(M7)="P"&amp;IF(RIGHT($D$4,1)="1","2","1"),
           OR(inputsimplified!$K$10="",inputsimplified!$K$10=0)),
       "",
       M7))),
  M7)),M7)</f>
        <v>0</v>
      </c>
      <c r="N7" s="1" cm="1">
        <f t="array" aca="1" ref="N7" ca="1">IFERROR(IF($C$1,base!F3,
 IF(($B$4=TRUE),
  IF(SUBSTITUTE(CELL("address",F3),"$","")=UPPER($A$3),$D$4,
   IF(SUBSTITUTE(CELL("address",F3),"$","")=UPPER($C$3),"",
    IF(AND(UPPER(LEFT($D$4,1))="P",
           SUBSTITUTE(CELL("address",F3),"$","")=UPPER(LEFT($A$3,1)&amp;(--MID($A$3,2,99)-IF(RIGHT($D$4,1)="1",1,-1))),
           UPPER(N7)="P"&amp;IF(RIGHT($D$4,1)="1","2","1"),
           OR(inputsimplified!$K$10="",inputsimplified!$K$10=0)),
       "",
       N7))),
  N7)),N7)</f>
        <v>0</v>
      </c>
      <c r="O7" s="1" cm="1">
        <f t="array" aca="1" ref="O7" ca="1">IFERROR(IF($C$1,base!G3,
 IF(($B$4=TRUE),
  IF(SUBSTITUTE(CELL("address",G3),"$","")=UPPER($A$3),$D$4,
   IF(SUBSTITUTE(CELL("address",G3),"$","")=UPPER($C$3),"",
    IF(AND(UPPER(LEFT($D$4,1))="P",
           SUBSTITUTE(CELL("address",G3),"$","")=UPPER(LEFT($A$3,1)&amp;(--MID($A$3,2,99)-IF(RIGHT($D$4,1)="1",1,-1))),
           UPPER(O7)="P"&amp;IF(RIGHT($D$4,1)="1","2","1"),
           OR(inputsimplified!$K$10="",inputsimplified!$K$10=0)),
       "",
       O7))),
  O7)),O7)</f>
        <v>0</v>
      </c>
      <c r="P7" s="1" cm="1">
        <f t="array" aca="1" ref="P7" ca="1">IFERROR(IF($C$1,base!H3,
 IF(($B$4=TRUE),
  IF(SUBSTITUTE(CELL("address",H3),"$","")=UPPER($A$3),$D$4,
   IF(SUBSTITUTE(CELL("address",H3),"$","")=UPPER($C$3),"",
    IF(AND(UPPER(LEFT($D$4,1))="P",
           SUBSTITUTE(CELL("address",H3),"$","")=UPPER(LEFT($A$3,1)&amp;(--MID($A$3,2,99)-IF(RIGHT($D$4,1)="1",1,-1))),
           UPPER(P7)="P"&amp;IF(RIGHT($D$4,1)="1","2","1"),
           OR(inputsimplified!$K$10="",inputsimplified!$K$10=0)),
       "",
       P7))),
  P7)),P7)</f>
        <v>0</v>
      </c>
    </row>
    <row r="8" spans="1:21">
      <c r="I8" s="1" cm="1">
        <f t="array" aca="1" ref="I8" ca="1">IFERROR(IF($C$1,base!A4,
 IF(($B$4=TRUE),
  IF(SUBSTITUTE(CELL("address",A4),"$","")=UPPER($A$3),$D$4,
   IF(SUBSTITUTE(CELL("address",A4),"$","")=UPPER($C$3),"",
    IF(AND(UPPER(LEFT($D$4,1))="P",
           SUBSTITUTE(CELL("address",A4),"$","")=UPPER(LEFT($A$3,1)&amp;(--MID($A$3,2,99)-IF(RIGHT($D$4,1)="1",1,-1))),
           UPPER(I8)="P"&amp;IF(RIGHT($D$4,1)="1","2","1"),
           OR(inputsimplified!$K$10="",inputsimplified!$K$10=0)),
       "",
       I8))),
  I8)),I8)</f>
        <v>0</v>
      </c>
      <c r="J8" s="1" cm="1">
        <f t="array" aca="1" ref="J8" ca="1">IFERROR(IF($C$1,base!B4,
 IF(($B$4=TRUE),
  IF(SUBSTITUTE(CELL("address",B4),"$","")=UPPER($A$3),$D$4,
   IF(SUBSTITUTE(CELL("address",B4),"$","")=UPPER($C$3),"",
    IF(AND(UPPER(LEFT($D$4,1))="P",
           SUBSTITUTE(CELL("address",B4),"$","")=UPPER(LEFT($A$3,1)&amp;(--MID($A$3,2,99)-IF(RIGHT($D$4,1)="1",1,-1))),
           UPPER(J8)="P"&amp;IF(RIGHT($D$4,1)="1","2","1"),
           OR(inputsimplified!$K$10="",inputsimplified!$K$10=0)),
       "",
       J8))),
  J8)),J8)</f>
        <v>0</v>
      </c>
      <c r="K8" s="1" cm="1">
        <f t="array" aca="1" ref="K8" ca="1">IFERROR(IF($C$1,base!C4,
 IF(($B$4=TRUE),
  IF(SUBSTITUTE(CELL("address",C4),"$","")=UPPER($A$3),$D$4,
   IF(SUBSTITUTE(CELL("address",C4),"$","")=UPPER($C$3),"",
    IF(AND(UPPER(LEFT($D$4,1))="P",
           SUBSTITUTE(CELL("address",C4),"$","")=UPPER(LEFT($A$3,1)&amp;(--MID($A$3,2,99)-IF(RIGHT($D$4,1)="1",1,-1))),
           UPPER(K8)="P"&amp;IF(RIGHT($D$4,1)="1","2","1"),
           OR(inputsimplified!$K$10="",inputsimplified!$K$10=0)),
       "",
       K8))),
  K8)),K8)</f>
        <v>0</v>
      </c>
      <c r="L8" s="1" cm="1">
        <f t="array" aca="1" ref="L8" ca="1">IFERROR(IF($C$1,base!D4,
 IF(($B$4=TRUE),
  IF(SUBSTITUTE(CELL("address",D4),"$","")=UPPER($A$3),$D$4,
   IF(SUBSTITUTE(CELL("address",D4),"$","")=UPPER($C$3),"",
    IF(AND(UPPER(LEFT($D$4,1))="P",
           SUBSTITUTE(CELL("address",D4),"$","")=UPPER(LEFT($A$3,1)&amp;(--MID($A$3,2,99)-IF(RIGHT($D$4,1)="1",1,-1))),
           UPPER(L8)="P"&amp;IF(RIGHT($D$4,1)="1","2","1"),
           OR(inputsimplified!$K$10="",inputsimplified!$K$10=0)),
       "",
       L8))),
  L8)),L8)</f>
        <v>0</v>
      </c>
      <c r="M8" s="1" cm="1">
        <f t="array" aca="1" ref="M8" ca="1">IFERROR(IF($C$1,base!E4,
 IF(($B$4=TRUE),
  IF(SUBSTITUTE(CELL("address",E4),"$","")=UPPER($A$3),$D$4,
   IF(SUBSTITUTE(CELL("address",E4),"$","")=UPPER($C$3),"",
    IF(AND(UPPER(LEFT($D$4,1))="P",
           SUBSTITUTE(CELL("address",E4),"$","")=UPPER(LEFT($A$3,1)&amp;(--MID($A$3,2,99)-IF(RIGHT($D$4,1)="1",1,-1))),
           UPPER(M8)="P"&amp;IF(RIGHT($D$4,1)="1","2","1"),
           OR(inputsimplified!$K$10="",inputsimplified!$K$10=0)),
       "",
       M8))),
  M8)),M8)</f>
        <v>0</v>
      </c>
      <c r="N8" s="1" cm="1">
        <f t="array" aca="1" ref="N8" ca="1">IFERROR(IF($C$1,base!F4,
 IF(($B$4=TRUE),
  IF(SUBSTITUTE(CELL("address",F4),"$","")=UPPER($A$3),$D$4,
   IF(SUBSTITUTE(CELL("address",F4),"$","")=UPPER($C$3),"",
    IF(AND(UPPER(LEFT($D$4,1))="P",
           SUBSTITUTE(CELL("address",F4),"$","")=UPPER(LEFT($A$3,1)&amp;(--MID($A$3,2,99)-IF(RIGHT($D$4,1)="1",1,-1))),
           UPPER(N8)="P"&amp;IF(RIGHT($D$4,1)="1","2","1"),
           OR(inputsimplified!$K$10="",inputsimplified!$K$10=0)),
       "",
       N8))),
  N8)),N8)</f>
        <v>0</v>
      </c>
      <c r="O8" s="1" cm="1">
        <f t="array" aca="1" ref="O8" ca="1">IFERROR(IF($C$1,base!G4,
 IF(($B$4=TRUE),
  IF(SUBSTITUTE(CELL("address",G4),"$","")=UPPER($A$3),$D$4,
   IF(SUBSTITUTE(CELL("address",G4),"$","")=UPPER($C$3),"",
    IF(AND(UPPER(LEFT($D$4,1))="P",
           SUBSTITUTE(CELL("address",G4),"$","")=UPPER(LEFT($A$3,1)&amp;(--MID($A$3,2,99)-IF(RIGHT($D$4,1)="1",1,-1))),
           UPPER(O8)="P"&amp;IF(RIGHT($D$4,1)="1","2","1"),
           OR(inputsimplified!$K$10="",inputsimplified!$K$10=0)),
       "",
       O8))),
  O8)),O8)</f>
        <v>0</v>
      </c>
      <c r="P8" s="1" cm="1">
        <f t="array" aca="1" ref="P8" ca="1">IFERROR(IF($C$1,base!H4,
 IF(($B$4=TRUE),
  IF(SUBSTITUTE(CELL("address",H4),"$","")=UPPER($A$3),$D$4,
   IF(SUBSTITUTE(CELL("address",H4),"$","")=UPPER($C$3),"",
    IF(AND(UPPER(LEFT($D$4,1))="P",
           SUBSTITUTE(CELL("address",H4),"$","")=UPPER(LEFT($A$3,1)&amp;(--MID($A$3,2,99)-IF(RIGHT($D$4,1)="1",1,-1))),
           UPPER(P8)="P"&amp;IF(RIGHT($D$4,1)="1","2","1"),
           OR(inputsimplified!$K$10="",inputsimplified!$K$10=0)),
       "",
       P8))),
  P8)),P8)</f>
        <v>0</v>
      </c>
    </row>
    <row r="9" spans="1:21" ht="20" customHeight="1">
      <c r="I9" s="1" cm="1">
        <f t="array" aca="1" ref="I9" ca="1">IFERROR(IF($C$1,base!A5,
 IF(($B$4=TRUE),
  IF(SUBSTITUTE(CELL("address",A5),"$","")=UPPER($A$3),$D$4,
   IF(SUBSTITUTE(CELL("address",A5),"$","")=UPPER($C$3),"",
    IF(AND(UPPER(LEFT($D$4,1))="P",
           SUBSTITUTE(CELL("address",A5),"$","")=UPPER(LEFT($A$3,1)&amp;(--MID($A$3,2,99)-IF(RIGHT($D$4,1)="1",1,-1))),
           UPPER(I9)="P"&amp;IF(RIGHT($D$4,1)="1","2","1"),
           OR(inputsimplified!$K$10="",inputsimplified!$K$10=0)),
       "",
       I9))),
  I9)),I9)</f>
        <v>0</v>
      </c>
      <c r="J9" s="1" cm="1">
        <f t="array" aca="1" ref="J9" ca="1">IFERROR(IF($C$1,base!B5,
 IF(($B$4=TRUE),
  IF(SUBSTITUTE(CELL("address",B5),"$","")=UPPER($A$3),$D$4,
   IF(SUBSTITUTE(CELL("address",B5),"$","")=UPPER($C$3),"",
    IF(AND(UPPER(LEFT($D$4,1))="P",
           SUBSTITUTE(CELL("address",B5),"$","")=UPPER(LEFT($A$3,1)&amp;(--MID($A$3,2,99)-IF(RIGHT($D$4,1)="1",1,-1))),
           UPPER(J9)="P"&amp;IF(RIGHT($D$4,1)="1","2","1"),
           OR(inputsimplified!$K$10="",inputsimplified!$K$10=0)),
       "",
       J9))),
  J9)),J9)</f>
        <v>0</v>
      </c>
      <c r="K9" s="1" cm="1">
        <f t="array" aca="1" ref="K9" ca="1">IFERROR(IF($C$1,base!C5,
 IF(($B$4=TRUE),
  IF(SUBSTITUTE(CELL("address",C5),"$","")=UPPER($A$3),$D$4,
   IF(SUBSTITUTE(CELL("address",C5),"$","")=UPPER($C$3),"",
    IF(AND(UPPER(LEFT($D$4,1))="P",
           SUBSTITUTE(CELL("address",C5),"$","")=UPPER(LEFT($A$3,1)&amp;(--MID($A$3,2,99)-IF(RIGHT($D$4,1)="1",1,-1))),
           UPPER(K9)="P"&amp;IF(RIGHT($D$4,1)="1","2","1"),
           OR(inputsimplified!$K$10="",inputsimplified!$K$10=0)),
       "",
       K9))),
  K9)),K9)</f>
        <v>0</v>
      </c>
      <c r="L9" s="1" cm="1">
        <f t="array" aca="1" ref="L9" ca="1">IFERROR(IF($C$1,base!D5,
 IF(($B$4=TRUE),
  IF(SUBSTITUTE(CELL("address",D5),"$","")=UPPER($A$3),$D$4,
   IF(SUBSTITUTE(CELL("address",D5),"$","")=UPPER($C$3),"",
    IF(AND(UPPER(LEFT($D$4,1))="P",
           SUBSTITUTE(CELL("address",D5),"$","")=UPPER(LEFT($A$3,1)&amp;(--MID($A$3,2,99)-IF(RIGHT($D$4,1)="1",1,-1))),
           UPPER(L9)="P"&amp;IF(RIGHT($D$4,1)="1","2","1"),
           OR(inputsimplified!$K$10="",inputsimplified!$K$10=0)),
       "",
       L9))),
  L9)),L9)</f>
        <v>0</v>
      </c>
      <c r="M9" s="1" cm="1">
        <f t="array" aca="1" ref="M9" ca="1">IFERROR(IF($C$1,base!E5,
 IF(($B$4=TRUE),
  IF(SUBSTITUTE(CELL("address",E5),"$","")=UPPER($A$3),$D$4,
   IF(SUBSTITUTE(CELL("address",E5),"$","")=UPPER($C$3),"",
    IF(AND(UPPER(LEFT($D$4,1))="P",
           SUBSTITUTE(CELL("address",E5),"$","")=UPPER(LEFT($A$3,1)&amp;(--MID($A$3,2,99)-IF(RIGHT($D$4,1)="1",1,-1))),
           UPPER(M9)="P"&amp;IF(RIGHT($D$4,1)="1","2","1"),
           OR(inputsimplified!$K$10="",inputsimplified!$K$10=0)),
       "",
       M9))),
  M9)),M9)</f>
        <v>0</v>
      </c>
      <c r="N9" s="1" cm="1">
        <f t="array" aca="1" ref="N9" ca="1">IFERROR(IF($C$1,base!F5,
 IF(($B$4=TRUE),
  IF(SUBSTITUTE(CELL("address",F5),"$","")=UPPER($A$3),$D$4,
   IF(SUBSTITUTE(CELL("address",F5),"$","")=UPPER($C$3),"",
    IF(AND(UPPER(LEFT($D$4,1))="P",
           SUBSTITUTE(CELL("address",F5),"$","")=UPPER(LEFT($A$3,1)&amp;(--MID($A$3,2,99)-IF(RIGHT($D$4,1)="1",1,-1))),
           UPPER(N9)="P"&amp;IF(RIGHT($D$4,1)="1","2","1"),
           OR(inputsimplified!$K$10="",inputsimplified!$K$10=0)),
       "",
       N9))),
  N9)),N9)</f>
        <v>0</v>
      </c>
      <c r="O9" s="1" cm="1">
        <f t="array" aca="1" ref="O9" ca="1">IFERROR(IF($C$1,base!G5,
 IF(($B$4=TRUE),
  IF(SUBSTITUTE(CELL("address",G5),"$","")=UPPER($A$3),$D$4,
   IF(SUBSTITUTE(CELL("address",G5),"$","")=UPPER($C$3),"",
    IF(AND(UPPER(LEFT($D$4,1))="P",
           SUBSTITUTE(CELL("address",G5),"$","")=UPPER(LEFT($A$3,1)&amp;(--MID($A$3,2,99)-IF(RIGHT($D$4,1)="1",1,-1))),
           UPPER(O9)="P"&amp;IF(RIGHT($D$4,1)="1","2","1"),
           OR(inputsimplified!$K$10="",inputsimplified!$K$10=0)),
       "",
       O9))),
  O9)),O9)</f>
        <v>0</v>
      </c>
      <c r="P9" s="1" cm="1">
        <f t="array" aca="1" ref="P9" ca="1">IFERROR(IF($C$1,base!H5,
 IF(($B$4=TRUE),
  IF(SUBSTITUTE(CELL("address",H5),"$","")=UPPER($A$3),$D$4,
   IF(SUBSTITUTE(CELL("address",H5),"$","")=UPPER($C$3),"",
    IF(AND(UPPER(LEFT($D$4,1))="P",
           SUBSTITUTE(CELL("address",H5),"$","")=UPPER(LEFT($A$3,1)&amp;(--MID($A$3,2,99)-IF(RIGHT($D$4,1)="1",1,-1))),
           UPPER(P9)="P"&amp;IF(RIGHT($D$4,1)="1","2","1"),
           OR(inputsimplified!$K$10="",inputsimplified!$K$10=0)),
       "",
       P9))),
  P9)),P9)</f>
        <v>0</v>
      </c>
    </row>
    <row r="10" spans="1:21" ht="20" customHeight="1">
      <c r="I10" s="1" cm="1">
        <f t="array" aca="1" ref="I10" ca="1">IFERROR(IF($C$1,base!A6,
 IF(($B$4=TRUE),
  IF(SUBSTITUTE(CELL("address",A6),"$","")=UPPER($A$3),$D$4,
   IF(SUBSTITUTE(CELL("address",A6),"$","")=UPPER($C$3),"",
    IF(AND(UPPER(LEFT($D$4,1))="P",
           SUBSTITUTE(CELL("address",A6),"$","")=UPPER(LEFT($A$3,1)&amp;(--MID($A$3,2,99)-IF(RIGHT($D$4,1)="1",1,-1))),
           UPPER(I10)="P"&amp;IF(RIGHT($D$4,1)="1","2","1"),
           OR(inputsimplified!$K$10="",inputsimplified!$K$10=0)),
       "",
       I10))),
  I10)),I10)</f>
        <v>0</v>
      </c>
      <c r="J10" s="1" cm="1">
        <f t="array" aca="1" ref="J10" ca="1">IFERROR(IF($C$1,base!B6,
 IF(($B$4=TRUE),
  IF(SUBSTITUTE(CELL("address",B6),"$","")=UPPER($A$3),$D$4,
   IF(SUBSTITUTE(CELL("address",B6),"$","")=UPPER($C$3),"",
    IF(AND(UPPER(LEFT($D$4,1))="P",
           SUBSTITUTE(CELL("address",B6),"$","")=UPPER(LEFT($A$3,1)&amp;(--MID($A$3,2,99)-IF(RIGHT($D$4,1)="1",1,-1))),
           UPPER(J10)="P"&amp;IF(RIGHT($D$4,1)="1","2","1"),
           OR(inputsimplified!$K$10="",inputsimplified!$K$10=0)),
       "",
       J10))),
  J10)),J10)</f>
        <v>0</v>
      </c>
      <c r="K10" s="1" cm="1">
        <f t="array" aca="1" ref="K10" ca="1">IFERROR(IF($C$1,base!C6,
 IF(($B$4=TRUE),
  IF(SUBSTITUTE(CELL("address",C6),"$","")=UPPER($A$3),$D$4,
   IF(SUBSTITUTE(CELL("address",C6),"$","")=UPPER($C$3),"",
    IF(AND(UPPER(LEFT($D$4,1))="P",
           SUBSTITUTE(CELL("address",C6),"$","")=UPPER(LEFT($A$3,1)&amp;(--MID($A$3,2,99)-IF(RIGHT($D$4,1)="1",1,-1))),
           UPPER(K10)="P"&amp;IF(RIGHT($D$4,1)="1","2","1"),
           OR(inputsimplified!$K$10="",inputsimplified!$K$10=0)),
       "",
       K10))),
  K10)),K10)</f>
        <v>0</v>
      </c>
      <c r="L10" s="1" cm="1">
        <f t="array" aca="1" ref="L10" ca="1">IFERROR(IF($C$1,base!D6,
 IF(($B$4=TRUE),
  IF(SUBSTITUTE(CELL("address",D6),"$","")=UPPER($A$3),$D$4,
   IF(SUBSTITUTE(CELL("address",D6),"$","")=UPPER($C$3),"",
    IF(AND(UPPER(LEFT($D$4,1))="P",
           SUBSTITUTE(CELL("address",D6),"$","")=UPPER(LEFT($A$3,1)&amp;(--MID($A$3,2,99)-IF(RIGHT($D$4,1)="1",1,-1))),
           UPPER(L10)="P"&amp;IF(RIGHT($D$4,1)="1","2","1"),
           OR(inputsimplified!$K$10="",inputsimplified!$K$10=0)),
       "",
       L10))),
  L10)),L10)</f>
        <v>0</v>
      </c>
      <c r="M10" s="1" cm="1">
        <f t="array" aca="1" ref="M10" ca="1">IFERROR(IF($C$1,base!E6,
 IF(($B$4=TRUE),
  IF(SUBSTITUTE(CELL("address",E6),"$","")=UPPER($A$3),$D$4,
   IF(SUBSTITUTE(CELL("address",E6),"$","")=UPPER($C$3),"",
    IF(AND(UPPER(LEFT($D$4,1))="P",
           SUBSTITUTE(CELL("address",E6),"$","")=UPPER(LEFT($A$3,1)&amp;(--MID($A$3,2,99)-IF(RIGHT($D$4,1)="1",1,-1))),
           UPPER(M10)="P"&amp;IF(RIGHT($D$4,1)="1","2","1"),
           OR(inputsimplified!$K$10="",inputsimplified!$K$10=0)),
       "",
       M10))),
  M10)),M10)</f>
        <v>0</v>
      </c>
      <c r="N10" s="1" cm="1">
        <f t="array" aca="1" ref="N10" ca="1">IFERROR(IF($C$1,base!F6,
 IF(($B$4=TRUE),
  IF(SUBSTITUTE(CELL("address",F6),"$","")=UPPER($A$3),$D$4,
   IF(SUBSTITUTE(CELL("address",F6),"$","")=UPPER($C$3),"",
    IF(AND(UPPER(LEFT($D$4,1))="P",
           SUBSTITUTE(CELL("address",F6),"$","")=UPPER(LEFT($A$3,1)&amp;(--MID($A$3,2,99)-IF(RIGHT($D$4,1)="1",1,-1))),
           UPPER(N10)="P"&amp;IF(RIGHT($D$4,1)="1","2","1"),
           OR(inputsimplified!$K$10="",inputsimplified!$K$10=0)),
       "",
       N10))),
  N10)),N10)</f>
        <v>0</v>
      </c>
      <c r="O10" s="1" cm="1">
        <f t="array" aca="1" ref="O10" ca="1">IFERROR(IF($C$1,base!G6,
 IF(($B$4=TRUE),
  IF(SUBSTITUTE(CELL("address",G6),"$","")=UPPER($A$3),$D$4,
   IF(SUBSTITUTE(CELL("address",G6),"$","")=UPPER($C$3),"",
    IF(AND(UPPER(LEFT($D$4,1))="P",
           SUBSTITUTE(CELL("address",G6),"$","")=UPPER(LEFT($A$3,1)&amp;(--MID($A$3,2,99)-IF(RIGHT($D$4,1)="1",1,-1))),
           UPPER(O10)="P"&amp;IF(RIGHT($D$4,1)="1","2","1"),
           OR(inputsimplified!$K$10="",inputsimplified!$K$10=0)),
       "",
       O10))),
  O10)),O10)</f>
        <v>0</v>
      </c>
      <c r="P10" s="1" cm="1">
        <f t="array" aca="1" ref="P10" ca="1">IFERROR(IF($C$1,base!H6,
 IF(($B$4=TRUE),
  IF(SUBSTITUTE(CELL("address",H6),"$","")=UPPER($A$3),$D$4,
   IF(SUBSTITUTE(CELL("address",H6),"$","")=UPPER($C$3),"",
    IF(AND(UPPER(LEFT($D$4,1))="P",
           SUBSTITUTE(CELL("address",H6),"$","")=UPPER(LEFT($A$3,1)&amp;(--MID($A$3,2,99)-IF(RIGHT($D$4,1)="1",1,-1))),
           UPPER(P10)="P"&amp;IF(RIGHT($D$4,1)="1","2","1"),
           OR(inputsimplified!$K$10="",inputsimplified!$K$10=0)),
       "",
       P10))),
  P10)),P10)</f>
        <v>0</v>
      </c>
    </row>
    <row r="11" spans="1:21" ht="20" customHeight="1">
      <c r="I11" s="1" t="str" cm="1">
        <f t="array" aca="1" ref="I11" ca="1">IFERROR(IF($C$1,base!A7,
 IF(($B$4=TRUE),
  IF(SUBSTITUTE(CELL("address",A7),"$","")=UPPER($A$3),$D$4,
   IF(SUBSTITUTE(CELL("address",A7),"$","")=UPPER($C$3),"",
    IF(AND(UPPER(LEFT($D$4,1))="P",
           SUBSTITUTE(CELL("address",A7),"$","")=UPPER(LEFT($A$3,1)&amp;(--MID($A$3,2,99)-IF(RIGHT($D$4,1)="1",1,-1))),
           UPPER(I11)="P"&amp;IF(RIGHT($D$4,1)="1","2","1"),
           OR(inputsimplified!$K$10="",inputsimplified!$K$10=0)),
       "",
       I11))),
  I11)),I11)</f>
        <v>p2</v>
      </c>
      <c r="J11" s="1" t="str" cm="1">
        <f t="array" aca="1" ref="J11" ca="1">IFERROR(IF($C$1,base!B7,
 IF(($B$4=TRUE),
  IF(SUBSTITUTE(CELL("address",B7),"$","")=UPPER($A$3),$D$4,
   IF(SUBSTITUTE(CELL("address",B7),"$","")=UPPER($C$3),"",
    IF(AND(UPPER(LEFT($D$4,1))="P",
           SUBSTITUTE(CELL("address",B7),"$","")=UPPER(LEFT($A$3,1)&amp;(--MID($A$3,2,99)-IF(RIGHT($D$4,1)="1",1,-1))),
           UPPER(J11)="P"&amp;IF(RIGHT($D$4,1)="1","2","1"),
           OR(inputsimplified!$K$10="",inputsimplified!$K$10=0)),
       "",
       J11))),
  J11)),J11)</f>
        <v>p2</v>
      </c>
      <c r="K11" s="1" t="str" cm="1">
        <f t="array" aca="1" ref="K11" ca="1">IFERROR(IF($C$1,base!C7,
 IF(($B$4=TRUE),
  IF(SUBSTITUTE(CELL("address",C7),"$","")=UPPER($A$3),$D$4,
   IF(SUBSTITUTE(CELL("address",C7),"$","")=UPPER($C$3),"",
    IF(AND(UPPER(LEFT($D$4,1))="P",
           SUBSTITUTE(CELL("address",C7),"$","")=UPPER(LEFT($A$3,1)&amp;(--MID($A$3,2,99)-IF(RIGHT($D$4,1)="1",1,-1))),
           UPPER(K11)="P"&amp;IF(RIGHT($D$4,1)="1","2","1"),
           OR(inputsimplified!$K$10="",inputsimplified!$K$10=0)),
       "",
       K11))),
  K11)),K11)</f>
        <v>p2</v>
      </c>
      <c r="L11" s="1" t="str" cm="1">
        <f t="array" aca="1" ref="L11" ca="1">IFERROR(IF($C$1,base!D7,
 IF(($B$4=TRUE),
  IF(SUBSTITUTE(CELL("address",D7),"$","")=UPPER($A$3),$D$4,
   IF(SUBSTITUTE(CELL("address",D7),"$","")=UPPER($C$3),"",
    IF(AND(UPPER(LEFT($D$4,1))="P",
           SUBSTITUTE(CELL("address",D7),"$","")=UPPER(LEFT($A$3,1)&amp;(--MID($A$3,2,99)-IF(RIGHT($D$4,1)="1",1,-1))),
           UPPER(L11)="P"&amp;IF(RIGHT($D$4,1)="1","2","1"),
           OR(inputsimplified!$K$10="",inputsimplified!$K$10=0)),
       "",
       L11))),
  L11)),L11)</f>
        <v>p2</v>
      </c>
      <c r="M11" s="1" t="str" cm="1">
        <f t="array" aca="1" ref="M11" ca="1">IFERROR(IF($C$1,base!E7,
 IF(($B$4=TRUE),
  IF(SUBSTITUTE(CELL("address",E7),"$","")=UPPER($A$3),$D$4,
   IF(SUBSTITUTE(CELL("address",E7),"$","")=UPPER($C$3),"",
    IF(AND(UPPER(LEFT($D$4,1))="P",
           SUBSTITUTE(CELL("address",E7),"$","")=UPPER(LEFT($A$3,1)&amp;(--MID($A$3,2,99)-IF(RIGHT($D$4,1)="1",1,-1))),
           UPPER(M11)="P"&amp;IF(RIGHT($D$4,1)="1","2","1"),
           OR(inputsimplified!$K$10="",inputsimplified!$K$10=0)),
       "",
       M11))),
  M11)),M11)</f>
        <v>p2</v>
      </c>
      <c r="N11" s="1" t="str" cm="1">
        <f t="array" aca="1" ref="N11" ca="1">IFERROR(IF($C$1,base!F7,
 IF(($B$4=TRUE),
  IF(SUBSTITUTE(CELL("address",F7),"$","")=UPPER($A$3),$D$4,
   IF(SUBSTITUTE(CELL("address",F7),"$","")=UPPER($C$3),"",
    IF(AND(UPPER(LEFT($D$4,1))="P",
           SUBSTITUTE(CELL("address",F7),"$","")=UPPER(LEFT($A$3,1)&amp;(--MID($A$3,2,99)-IF(RIGHT($D$4,1)="1",1,-1))),
           UPPER(N11)="P"&amp;IF(RIGHT($D$4,1)="1","2","1"),
           OR(inputsimplified!$K$10="",inputsimplified!$K$10=0)),
       "",
       N11))),
  N11)),N11)</f>
        <v>p2</v>
      </c>
      <c r="O11" s="1" t="str" cm="1">
        <f t="array" aca="1" ref="O11" ca="1">IFERROR(IF($C$1,base!G7,
 IF(($B$4=TRUE),
  IF(SUBSTITUTE(CELL("address",G7),"$","")=UPPER($A$3),$D$4,
   IF(SUBSTITUTE(CELL("address",G7),"$","")=UPPER($C$3),"",
    IF(AND(UPPER(LEFT($D$4,1))="P",
           SUBSTITUTE(CELL("address",G7),"$","")=UPPER(LEFT($A$3,1)&amp;(--MID($A$3,2,99)-IF(RIGHT($D$4,1)="1",1,-1))),
           UPPER(O11)="P"&amp;IF(RIGHT($D$4,1)="1","2","1"),
           OR(inputsimplified!$K$10="",inputsimplified!$K$10=0)),
       "",
       O11))),
  O11)),O11)</f>
        <v>p2</v>
      </c>
      <c r="P11" s="1" t="str" cm="1">
        <f t="array" aca="1" ref="P11" ca="1">IFERROR(IF($C$1,base!H7,
 IF(($B$4=TRUE),
  IF(SUBSTITUTE(CELL("address",H7),"$","")=UPPER($A$3),$D$4,
   IF(SUBSTITUTE(CELL("address",H7),"$","")=UPPER($C$3),"",
    IF(AND(UPPER(LEFT($D$4,1))="P",
           SUBSTITUTE(CELL("address",H7),"$","")=UPPER(LEFT($A$3,1)&amp;(--MID($A$3,2,99)-IF(RIGHT($D$4,1)="1",1,-1))),
           UPPER(P11)="P"&amp;IF(RIGHT($D$4,1)="1","2","1"),
           OR(inputsimplified!$K$10="",inputsimplified!$K$10=0)),
       "",
       P11))),
  P11)),P11)</f>
        <v>p2</v>
      </c>
    </row>
    <row r="12" spans="1:21" ht="20" customHeight="1">
      <c r="I12" s="1" t="str" cm="1">
        <f t="array" aca="1" ref="I12" ca="1">IFERROR(IF($C$1,base!A8,
IF(IFERROR(_xlfn.IFNA($B$4,FALSE),FALSE)="CASTLE",
IF(SUBSTITUTE(CELL("address",A8),"$","")=UPPER($A$3),$D$4,
IF(SUBSTITUTE(CELL("address",A8),"$","")=UPPER($C$3),"",IF(NOT(ISERR(FIND("B",UPPER($A$3)))),
IF(SUBSTITUTE(CELL("address",A8),"$","")=REPLACE(UPPER($A$3),1,1,"C"),REPLACE(UPPER($D$4),1,1,"r"),
IF(SUBSTITUTE(CELL("address",A8),"$","")=REPLACE(UPPER($A$3),1,1,"A"),"",I12)),
IF(SUBSTITUTE(CELL("address",A8),"$","")=REPLACE(UPPER($A$3),1,1,"E"),REPLACE(UPPER($D$4),1,1,"r"),
IF(SUBSTITUTE(CELL("address",A8),"$","")=REPLACE(UPPER($A$3),1,1,"H"),"",I12))))),
IF($C$1,base!A8,IF(IFERROR(_xlfn.IFNA($B$4,FALSE),FALSE),IF(SUBSTITUTE(CELL("address",A8),"$","")=UPPER($A$3),SUBSTITUTE($D$4,"p","q"),IF(SUBSTITUTE(CELL("address",A8),"$","")=UPPER($C$3),"",I12)),I12)))),I12)</f>
        <v>r2</v>
      </c>
      <c r="J12" s="1" t="str" cm="1">
        <f t="array" aca="1" ref="J12" ca="1">IFERROR(IF($C$1,base!B8,
IF(IFERROR(_xlfn.IFNA($B$4,FALSE),FALSE)="CASTLE",
IF(SUBSTITUTE(CELL("address",B8),"$","")=UPPER($A$3),$D$4,
IF(SUBSTITUTE(CELL("address",B8),"$","")=UPPER($C$3),"",IF(NOT(ISERR(FIND("B",UPPER($A$3)))),
IF(SUBSTITUTE(CELL("address",B8),"$","")=REPLACE(UPPER($A$3),1,1,"C"),REPLACE(UPPER($D$4),1,1,"r"),
IF(SUBSTITUTE(CELL("address",B8),"$","")=REPLACE(UPPER($A$3),1,1,"A"),"",J12)),
IF(SUBSTITUTE(CELL("address",B8),"$","")=REPLACE(UPPER($A$3),1,1,"E"),REPLACE(UPPER($D$4),1,1,"r"),
IF(SUBSTITUTE(CELL("address",B8),"$","")=REPLACE(UPPER($A$3),1,1,"H"),"",J12))))),
IF($C$1,base!B8,IF(IFERROR(_xlfn.IFNA($B$4,FALSE),FALSE),IF(SUBSTITUTE(CELL("address",B8),"$","")=UPPER($A$3),SUBSTITUTE($D$4,"p","q"),IF(SUBSTITUTE(CELL("address",B8),"$","")=UPPER($C$3),"",J12)),J12)))),J12)</f>
        <v>n2</v>
      </c>
      <c r="K12" s="1" t="str" cm="1">
        <f t="array" aca="1" ref="K12" ca="1">IFERROR(IF($C$1,base!C8,
IF(IFERROR(_xlfn.IFNA($B$4,FALSE),FALSE)="CASTLE",
IF(SUBSTITUTE(CELL("address",C8),"$","")=UPPER($A$3),$D$4,
IF(SUBSTITUTE(CELL("address",C8),"$","")=UPPER($C$3),"",IF(NOT(ISERR(FIND("B",UPPER($A$3)))),
IF(SUBSTITUTE(CELL("address",C8),"$","")=REPLACE(UPPER($A$3),1,1,"C"),REPLACE(UPPER($D$4),1,1,"r"),
IF(SUBSTITUTE(CELL("address",C8),"$","")=REPLACE(UPPER($A$3),1,1,"A"),"",K12)),
IF(SUBSTITUTE(CELL("address",C8),"$","")=REPLACE(UPPER($A$3),1,1,"E"),REPLACE(UPPER($D$4),1,1,"r"),
IF(SUBSTITUTE(CELL("address",C8),"$","")=REPLACE(UPPER($A$3),1,1,"H"),"",K12))))),
IF($C$1,base!C8,IF(IFERROR(_xlfn.IFNA($B$4,FALSE),FALSE),IF(SUBSTITUTE(CELL("address",C8),"$","")=UPPER($A$3),SUBSTITUTE($D$4,"p","q"),IF(SUBSTITUTE(CELL("address",C8),"$","")=UPPER($C$3),"",K12)),K12)))),K12)</f>
        <v>b2</v>
      </c>
      <c r="L12" s="1" t="str" cm="1">
        <f t="array" aca="1" ref="L12" ca="1">IFERROR(IF($C$1,base!D8,
IF(IFERROR(_xlfn.IFNA($B$4,FALSE),FALSE)="CASTLE",
IF(SUBSTITUTE(CELL("address",D8),"$","")=UPPER($A$3),$D$4,
IF(SUBSTITUTE(CELL("address",D8),"$","")=UPPER($C$3),"",IF(NOT(ISERR(FIND("B",UPPER($A$3)))),
IF(SUBSTITUTE(CELL("address",D8),"$","")=REPLACE(UPPER($A$3),1,1,"C"),REPLACE(UPPER($D$4),1,1,"r"),
IF(SUBSTITUTE(CELL("address",D8),"$","")=REPLACE(UPPER($A$3),1,1,"A"),"",L12)),
IF(SUBSTITUTE(CELL("address",D8),"$","")=REPLACE(UPPER($A$3),1,1,"E"),REPLACE(UPPER($D$4),1,1,"r"),
IF(SUBSTITUTE(CELL("address",D8),"$","")=REPLACE(UPPER($A$3),1,1,"H"),"",L12))))),
IF($C$1,base!D8,IF(IFERROR(_xlfn.IFNA($B$4,FALSE),FALSE),IF(SUBSTITUTE(CELL("address",D8),"$","")=UPPER($A$3),SUBSTITUTE($D$4,"p","q"),IF(SUBSTITUTE(CELL("address",D8),"$","")=UPPER($C$3),"",L12)),L12)))),L12)</f>
        <v>k2</v>
      </c>
      <c r="M12" s="1" t="str" cm="1">
        <f t="array" aca="1" ref="M12" ca="1">IFERROR(IF($C$1,base!E8,
IF(IFERROR(_xlfn.IFNA($B$4,FALSE),FALSE)="CASTLE",
IF(SUBSTITUTE(CELL("address",E8),"$","")=UPPER($A$3),$D$4,
IF(SUBSTITUTE(CELL("address",E8),"$","")=UPPER($C$3),"",IF(NOT(ISERR(FIND("B",UPPER($A$3)))),
IF(SUBSTITUTE(CELL("address",E8),"$","")=REPLACE(UPPER($A$3),1,1,"C"),REPLACE(UPPER($D$4),1,1,"r"),
IF(SUBSTITUTE(CELL("address",E8),"$","")=REPLACE(UPPER($A$3),1,1,"A"),"",M12)),
IF(SUBSTITUTE(CELL("address",E8),"$","")=REPLACE(UPPER($A$3),1,1,"E"),REPLACE(UPPER($D$4),1,1,"r"),
IF(SUBSTITUTE(CELL("address",E8),"$","")=REPLACE(UPPER($A$3),1,1,"H"),"",M12))))),
IF($C$1,base!E8,IF(IFERROR(_xlfn.IFNA($B$4,FALSE),FALSE),IF(SUBSTITUTE(CELL("address",E8),"$","")=UPPER($A$3),SUBSTITUTE($D$4,"p","q"),IF(SUBSTITUTE(CELL("address",E8),"$","")=UPPER($C$3),"",M12)),M12)))),M12)</f>
        <v>q2</v>
      </c>
      <c r="N12" s="1" t="str" cm="1">
        <f t="array" aca="1" ref="N12" ca="1">IFERROR(IF($C$1,base!F8,
IF(IFERROR(_xlfn.IFNA($B$4,FALSE),FALSE)="CASTLE",
IF(SUBSTITUTE(CELL("address",F8),"$","")=UPPER($A$3),$D$4,
IF(SUBSTITUTE(CELL("address",F8),"$","")=UPPER($C$3),"",IF(NOT(ISERR(FIND("B",UPPER($A$3)))),
IF(SUBSTITUTE(CELL("address",F8),"$","")=REPLACE(UPPER($A$3),1,1,"C"),REPLACE(UPPER($D$4),1,1,"r"),
IF(SUBSTITUTE(CELL("address",F8),"$","")=REPLACE(UPPER($A$3),1,1,"A"),"",N12)),
IF(SUBSTITUTE(CELL("address",F8),"$","")=REPLACE(UPPER($A$3),1,1,"E"),REPLACE(UPPER($D$4),1,1,"r"),
IF(SUBSTITUTE(CELL("address",F8),"$","")=REPLACE(UPPER($A$3),1,1,"H"),"",N12))))),
IF($C$1,base!F8,IF(IFERROR(_xlfn.IFNA($B$4,FALSE),FALSE),IF(SUBSTITUTE(CELL("address",F8),"$","")=UPPER($A$3),SUBSTITUTE($D$4,"p","q"),IF(SUBSTITUTE(CELL("address",F8),"$","")=UPPER($C$3),"",N12)),N12)))),N12)</f>
        <v>b2</v>
      </c>
      <c r="O12" s="1" t="str" cm="1">
        <f t="array" aca="1" ref="O12" ca="1">IFERROR(IF($C$1,base!G8,
IF(IFERROR(_xlfn.IFNA($B$4,FALSE),FALSE)="CASTLE",
IF(SUBSTITUTE(CELL("address",G8),"$","")=UPPER($A$3),$D$4,
IF(SUBSTITUTE(CELL("address",G8),"$","")=UPPER($C$3),"",IF(NOT(ISERR(FIND("B",UPPER($A$3)))),
IF(SUBSTITUTE(CELL("address",G8),"$","")=REPLACE(UPPER($A$3),1,1,"C"),REPLACE(UPPER($D$4),1,1,"r"),
IF(SUBSTITUTE(CELL("address",G8),"$","")=REPLACE(UPPER($A$3),1,1,"A"),"",O12)),
IF(SUBSTITUTE(CELL("address",G8),"$","")=REPLACE(UPPER($A$3),1,1,"E"),REPLACE(UPPER($D$4),1,1,"r"),
IF(SUBSTITUTE(CELL("address",G8),"$","")=REPLACE(UPPER($A$3),1,1,"H"),"",O12))))),
IF($C$1,base!G8,IF(IFERROR(_xlfn.IFNA($B$4,FALSE),FALSE),IF(SUBSTITUTE(CELL("address",G8),"$","")=UPPER($A$3),SUBSTITUTE($D$4,"p","q"),IF(SUBSTITUTE(CELL("address",G8),"$","")=UPPER($C$3),"",O12)),O12)))),O12)</f>
        <v>n2</v>
      </c>
      <c r="P12" s="1" t="str" cm="1">
        <f t="array" aca="1" ref="P12" ca="1">IFERROR(IF($C$1,base!H8,
IF(IFERROR(_xlfn.IFNA($B$4,FALSE),FALSE)="CASTLE",
IF(SUBSTITUTE(CELL("address",H8),"$","")=UPPER($A$3),$D$4,
IF(SUBSTITUTE(CELL("address",H8),"$","")=UPPER($C$3),"",IF(NOT(ISERR(FIND("B",UPPER($A$3)))),
IF(SUBSTITUTE(CELL("address",H8),"$","")=REPLACE(UPPER($A$3),1,1,"C"),REPLACE(UPPER($D$4),1,1,"r"),
IF(SUBSTITUTE(CELL("address",H8),"$","")=REPLACE(UPPER($A$3),1,1,"A"),"",P12)),
IF(SUBSTITUTE(CELL("address",H8),"$","")=REPLACE(UPPER($A$3),1,1,"E"),REPLACE(UPPER($D$4),1,1,"r"),
IF(SUBSTITUTE(CELL("address",H8),"$","")=REPLACE(UPPER($A$3),1,1,"H"),"",P12))))),
IF($C$1,base!H8,IF(IFERROR(_xlfn.IFNA($B$4,FALSE),FALSE),IF(SUBSTITUTE(CELL("address",H8),"$","")=UPPER($A$3),SUBSTITUTE($D$4,"p","q"),IF(SUBSTITUTE(CELL("address",H8),"$","")=UPPER($C$3),"",P12)),P12)))),P12)</f>
        <v>r2</v>
      </c>
    </row>
    <row r="13" spans="1:21" ht="20" customHeight="1">
      <c r="I13" s="14"/>
    </row>
    <row r="14" spans="1:21" ht="20" customHeight="1">
      <c r="Q14" t="s">
        <v>30</v>
      </c>
    </row>
    <row r="15" spans="1:21" ht="20" customHeight="1">
      <c r="Q15" t="b" cm="1">
        <f t="array" aca="1" ref="Q15" ca="1">_xlfn.IFNA(IFERROR(IF(OR(B4=TRUE,B4="CASTLE"),IF(OR(OFFSET(INDIRECT(A3), 4, 8)=D4,OFFSET(INDIRECT(A3), 4, 8)=SUBSTITUTE(D4,"p","q")), TRUE, FALSE),FALSE),FALSE),FALSE)</f>
        <v>0</v>
      </c>
    </row>
    <row r="16" spans="1:21" ht="20" customHeight="1">
      <c r="R16">
        <f>IF(C1,1,IF(Q15,IF(R16=1,2,1),R16))</f>
        <v>1</v>
      </c>
    </row>
    <row r="17" spans="3:24" ht="20" customHeight="1">
      <c r="S17" t="str">
        <f ca="1">IF(COUNTIF(I5:P12,"k1")=0,"Black Wins",IF(COUNTIF(I5:P12,"k2")=0,"White Wins",""))</f>
        <v/>
      </c>
    </row>
    <row r="18" spans="3:24">
      <c r="C18" s="12"/>
      <c r="S18" t="s">
        <v>36</v>
      </c>
      <c r="T18" t="b">
        <f>IF($C$1,FALSE,IF(T18=TRUE,TRUE,IF(AND($Q$15,IFERROR(FIND("k2",$D$4,1),0)=1),TRUE,FALSE)))</f>
        <v>0</v>
      </c>
    </row>
    <row r="19" spans="3:24">
      <c r="D19" s="12"/>
      <c r="S19" t="s">
        <v>35</v>
      </c>
      <c r="T19" t="b">
        <f>IF($C$1,FALSE,IF(T19=TRUE,TRUE,IF(AND($Q$15,IFERROR(FIND("k1",$D$4,1),0)=1),TRUE,FALSE)))</f>
        <v>0</v>
      </c>
      <c r="U19" t="s">
        <v>37</v>
      </c>
    </row>
    <row r="20" spans="3:24">
      <c r="D20" s="12"/>
      <c r="T20" s="2" t="b">
        <f ca="1">Q15</f>
        <v>0</v>
      </c>
      <c r="U20" t="str">
        <f ca="1">IFERROR(_xlfn.CONCAT(C3,".",A3),"")</f>
        <v/>
      </c>
    </row>
    <row r="21" spans="3:24">
      <c r="D21" s="12"/>
      <c r="V21" s="2" t="b">
        <f>C1</f>
        <v>1</v>
      </c>
    </row>
    <row r="22" spans="3:24">
      <c r="D22" s="12"/>
    </row>
    <row r="23" spans="3:24">
      <c r="D23" s="12"/>
      <c r="X23" t="str" cm="1">
        <f t="array" aca="1" ref="X23" ca="1">_xlfn.LET(_xlpm.me,livegame!R16,_xlpm.e,TEXT(3-_xlpm.me,"0"),_xlpm.mt,TEXT(_xlpm.me,"0"),_xlpm.ef,IF(3-_xlpm.me=1,1,-1),_xlpm.fwd,IF(_xlpm.me=1,1,-1),_xlpm.st,IF(_xlpm.me=1,2,7),_xlpm.raw,livegame!I5:P12,_xlpm.zcb,_xlfn.MAKEARRAY(8,8,_xlfn.LAMBDA(_xlpm.r,_xlpm.c,_xlfn.LET(_xlpm.v,INDEX(_xlpm.raw,_xlpm.r,_xlpm.c),IF(OR(_xlpm.v="",_xlpm.v=0,_xlpm.v="0"),"",_xlpm.v&amp;"")))),_xlpm.zg0,_xlfn.LAMBDA(_xlpm.r,_xlpm.c,IF(OR(_xlpm.r&lt;1,_xlpm.r&gt;8,_xlpm.c&lt;1,_xlpm.c&gt;8),"##",INDEX(_xlpm.zcb,_xlpm.r,_xlpm.c))),_xlpm.zatt,_xlfn.LAMBDA(_xlpm.bd,_xlpm.tr,_xlpm.tc,_xlfn.LET(_xlpm.g,_xlfn.LAMBDA(_xlpm.r,_xlpm.c,IF(OR(_xlpm.r&lt;1,_xlpm.r&gt;8,_xlpm.c&lt;1,_xlpm.c&gt;8),"##",INDEX(_xlpm.bd,_xlpm.r,_xlpm.c))),_xlpm.kn,(_xlpm.g(_xlpm.tr-2,_xlpm.tc-1)="n"&amp;_xlpm.e)+(_xlpm.g(_xlpm.tr-2,_xlpm.tc+1)="n"&amp;_xlpm.e)+(_xlpm.g(_xlpm.tr-1,_xlpm.tc-2)="n"&amp;_xlpm.e)+(_xlpm.g(_xlpm.tr-1,_xlpm.tc+2)="n"&amp;_xlpm.e)+(_xlpm.g(_xlpm.tr+1,_xlpm.tc-2)="n"&amp;_xlpm.e)+(_xlpm.g(_xlpm.tr+1,_xlpm.tc+2)="n"&amp;_xlpm.e)+(_xlpm.g(_xlpm.tr+2,_xlpm.tc-1)="n"&amp;_xlpm.e)+(_xlpm.g(_xlpm.tr+2,_xlpm.tc+1)="n"&amp;_xlpm.e),_xlpm.kg,(_xlpm.g(_xlpm.tr-1,_xlpm.tc-1)="k"&amp;_xlpm.e)+(_xlpm.g(_xlpm.tr-1,_xlpm.tc)="k"&amp;_xlpm.e)+(_xlpm.g(_xlpm.tr-1,_xlpm.tc+1)="k"&amp;_xlpm.e)+(_xlpm.g(_xlpm.tr,_xlpm.tc-1)="k"&amp;_xlpm.e)+(_xlpm.g(_xlpm.tr,_xlpm.tc+1)="k"&amp;_xlpm.e)+(_xlpm.g(_xlpm.tr+1,_xlpm.tc-1)="k"&amp;_xlpm.e)+(_xlpm.g(_xlpm.tr+1,_xlpm.tc)="k"&amp;_xlpm.e)+(_xlpm.g(_xlpm.tr+1,_xlpm.tc+1)="k"&amp;_xlpm.e),_xlpm.pw,(_xlpm.g(_xlpm.tr-_xlpm.ef,_xlpm.tc-1)="p"&amp;_xlpm.e)+(_xlpm.g(_xlpm.tr-_xlpm.ef,_xlpm.tc+1)="p"&amp;_xlpm.e),_xlpm.rq,"|r"&amp;_xlpm.e&amp;"|q"&amp;_xlpm.e&amp;"|",_xlpm.bq,"|b"&amp;_xlpm.e&amp;"|q"&amp;_xlpm.e&amp;"|",_xlpm.ry,_xlfn.LAMBDA(_xlpm.dr,_xlpm.dc,_xlpm.pp,INDEX(_xlfn.REDUCE(_xlfn.HSTACK(0,0),_xlfn.SEQUENCE(7),_xlfn.LAMBDA(_xlpm.a,_xlpm.k,_xlfn.LET(_xlpm.d,INDEX(_xlpm.a,1,1),_xlpm.rr,_xlpm.tr+_xlpm.dr*_xlpm.k,_xlpm.cc,_xlpm.tc+_xlpm.dc*_xlpm.k,_xlpm.p,_xlpm.g(_xlpm.rr,_xlpm.cc),IF(OR(_xlpm.d=1,_xlpm.p="##"),_xlpm.a,IF(_xlpm.p&lt;&gt;"",_xlfn.HSTACK(1,IF(ISNUMBER(SEARCH("|"&amp;_xlpm.p&amp;"|",_xlpm.pp)),1,0)),_xlpm.a))))),1,2)),_xlpm.sl,_xlpm.ry(-1,0,_xlpm.rq)+_xlpm.ry(1,0,_xlpm.rq)+_xlpm.ry(0,-1,_xlpm.rq)+_xlpm.ry(0,1,_xlpm.rq)+_xlpm.ry(-1,-1,_xlpm.bq)+_xlpm.ry(-1,1,_xlpm.bq)+_xlpm.ry(1,-1,_xlpm.bq)+_xlpm.ry(1,1,_xlpm.bq),(_xlpm.kn+_xlpm.kg+_xlpm.pw+_xlpm.sl)&gt;0)),_xlpm.zbetw,_xlfn.LAMBDA(_xlpm.fr,_xlpm.fc,_xlpm.tr,_xlpm.tc,_xlfn.LET(_xlpm.sr,SIGN(_xlpm.tr-_xlpm.fr),_xlpm.sc,SIGN(_xlpm.tc-_xlpm.fc),_xlpm.d,MAX(ABS(_xlpm.tr-_xlpm.fr),ABS(_xlpm.tc-_xlpm.fc)),IF(_xlpm.d&lt;=1,TRUE,_xlfn.REDUCE(TRUE,_xlfn.SEQUENCE(_xlpm.d-1),_xlfn.LAMBDA(_xlpm.a,_xlpm.k,AND(_xlpm.a,_xlpm.zg0(_xlpm.fr+_xlpm.sr*_xlpm.k,_xlpm.fc+_xlpm.sc*_xlpm.k)="")))))),_xlpm.zpl,_xlfn.LAMBDA(_xlpm.fr,_xlpm.fc,_xlpm.tr,_xlpm.tc,_xlpm.pc,_xlfn.LET(_xlpm.t,LEFT(_xlpm.pc,1),_xlpm.dr,_xlpm.tr-_xlpm.fr,_xlpm.dc,_xlpm.tc-_xlpm.fc,_xlpm.adr,ABS(_xlpm.dr),_xlpm.adc,ABS(_xlpm.dc),_xlpm.tv,_xlpm.zg0(_xlpm.tr,_xlpm.tc),_xlpm.empt,_xlpm.tv="",_xlpm.enemyT,AND(_xlpm.tv&lt;&gt;"",_xlpm.tv&lt;&gt;"##",RIGHT(_xlpm.tv,1)&lt;&gt;_xlpm.mt),_xlpm.landOK,OR(_xlpm.tv="",_xlpm.enemyT),IF(NOT(AND(_xlpm.tr&gt;=1,_xlpm.tr&lt;=8,_xlpm.tc&gt;=1,_xlpm.tc&lt;=8)),FALSE,IF(_xlpm.t="p",OR(AND(_xlpm.dc=0,_xlpm.dr=_xlpm.fwd,_xlpm.empt),AND(_xlpm.dc=0,_xlpm.dr=2*_xlpm.fwd,_xlpm.fr=_xlpm.st,_xlpm.empt,_xlpm.zg0(_xlpm.fr+_xlpm.fwd,_xlpm.fc)=""),AND(_xlpm.adc=1,_xlpm.dr=_xlpm.fwd,_xlpm.enemyT)),IF(_xlpm.t="n",AND(OR(AND(_xlpm.adr=2,_xlpm.adc=1),AND(_xlpm.adr=1,_xlpm.adc=2)),_xlpm.landOK),IF(_xlpm.t="k",AND(_xlpm.adr&lt;=1,_xlpm.adc&lt;=1,_xlpm.adr+_xlpm.adc&gt;0,_xlpm.landOK),IF(_xlpm.t="r",AND(OR(_xlpm.dr=0,_xlpm.dc=0),_xlpm.adr+_xlpm.adc&gt;0,_xlpm.landOK,_xlpm.zbetw(_xlpm.fr,_xlpm.fc,_xlpm.tr,_xlpm.tc)),IF(_xlpm.t="b",AND(_xlpm.adr=_xlpm.adc,_xlpm.adr&gt;0,_xlpm.landOK,_xlpm.zbetw(_xlpm.fr,_xlpm.fc,_xlpm.tr,_xlpm.tc)),IF(_xlpm.t="q",AND(OR(_xlpm.dr=0,_xlpm.dc=0,_xlpm.adr=_xlpm.adc),_xlpm.adr+_xlpm.adc&gt;0,_xlpm.landOK,_xlpm.zbetw(_xlpm.fr,_xlpm.fc,_xlpm.tr,_xlpm.tc)),FALSE))))))))),_xlpm.kloc,MAX(_xlfn.MAKEARRAY(8,8,_xlfn.LAMBDA(_xlpm.r,_xlpm.c,IF(INDEX(_xlpm.zcb,_xlpm.r,_xlpm.c)="k"&amp;_xlpm.mt,_xlpm.r*10+_xlpm.c,0)))),_xlpm.kr0,INT(_xlpm.kloc/10),_xlpm.kc0,MOD(_xlpm.kloc,10),_xlpm.inChk,_xlpm.zatt(_xlpm.zcb,_xlpm.kr0,_xlpm.kc0),_xlpm.found,_xlfn.REDUCE(FALSE,_xlfn.SEQUENCE(64),_xlfn.LAMBDA(_xlpm.acu,_xlpm.i,IF(_xlpm.acu,TRUE,_xlfn.LET(_xlpm.fr,INT((_xlpm.i-1)/8)+1,_xlpm.fc,MOD(_xlpm.i-1,8)+1,_xlpm.pc,_xlpm.zg0(_xlpm.fr,_xlpm.fc),IF(OR(_xlpm.pc="",RIGHT(_xlpm.pc,1)&lt;&gt;_xlpm.mt),_xlpm.acu,_xlfn.REDUCE(_xlpm.acu,_xlfn.SEQUENCE(64),_xlfn.LAMBDA(_xlpm.acv,_xlpm.j,IF(_xlpm.acv,TRUE,_xlfn.LET(_xlpm.tr,INT((_xlpm.j-1)/8)+1,_xlpm.tc,MOD(_xlpm.j-1,8)+1,IF(_xlpm.zpl(_xlpm.fr,_xlpm.fc,_xlpm.tr,_xlpm.tc,_xlpm.pc),_xlfn.LET(_xlpm.kpr,IF(LEFT(_xlpm.pc,1)="k",_xlpm.tr,_xlpm.kr0),_xlpm.kpc,IF(LEFT(_xlpm.pc,1)="k",_xlpm.tc,_xlpm.kc0),_xlpm.simB,_xlfn.MAKEARRAY(8,8,_xlfn.LAMBDA(_xlpm.rr,_xlpm.cc,IF(AND(_xlpm.rr=_xlpm.fr,_xlpm.cc=_xlpm.fc),"",IF(AND(_xlpm.rr=_xlpm.tr,_xlpm.cc=_xlpm.tc),_xlpm.pc,INDEX(_xlpm.zcb,_xlpm.rr,_xlpm.cc))))),IF(_xlpm.zatt(_xlpm.simB,_xlpm.kpr,_xlpm.kpc),_xlpm.acv,TRUE)),_xlpm.acv)))))))))),IF(_xlpm.found,"",IF(_xlpm.inChk,IF(_xlpm.me=1,"Black wins","White wins"),"Stalemate")))</f>
        <v/>
      </c>
    </row>
    <row r="24" spans="3:24">
      <c r="D24" s="12"/>
    </row>
    <row r="25" spans="3:24">
      <c r="D25" s="12"/>
    </row>
    <row r="26" spans="3:24">
      <c r="D26" s="12"/>
    </row>
    <row r="27" spans="3:24">
      <c r="D27" s="12"/>
    </row>
    <row r="35" spans="5:7">
      <c r="E35" s="12"/>
    </row>
    <row r="37" spans="5:7">
      <c r="G37" s="12"/>
    </row>
  </sheetData>
  <phoneticPr fontId="5" type="noConversion"/>
  <conditionalFormatting sqref="B1">
    <cfRule type="containsText" dxfId="3" priority="3" stopIfTrue="1" operator="containsText" text="TRUE">
      <formula>NOT(ISERROR(SEARCH("TRUE",B1)))</formula>
    </cfRule>
  </conditionalFormatting>
  <conditionalFormatting sqref="I5:P12 I13">
    <cfRule type="containsText" dxfId="2" priority="1" operator="containsText" text="0">
      <formula>NOT(ISERROR(SEARCH("0",I5)))</formula>
    </cfRule>
    <cfRule type="containsText" dxfId="1" priority="2" stopIfTrue="1" operator="containsText" text="TRUE">
      <formula>NOT(ISERROR(SEARCH("TRUE",I5)))</formula>
    </cfRule>
  </conditionalFormatting>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927D8-D06F-4142-9617-DBED7DFE7FF1}">
  <dimension ref="A1:D1759"/>
  <sheetViews>
    <sheetView zoomScale="99" workbookViewId="0">
      <selection activeCell="D6" sqref="D6"/>
    </sheetView>
  </sheetViews>
  <sheetFormatPr baseColWidth="10" defaultRowHeight="16"/>
  <sheetData>
    <row r="1" spans="1:4">
      <c r="A1" t="s">
        <v>39</v>
      </c>
      <c r="B1" t="s">
        <v>38</v>
      </c>
    </row>
    <row r="2" spans="1:4">
      <c r="A2" t="str">
        <f>IF(livegame!$V$21,"",IF(A2&lt;&gt;"",A2,IF(AND(livegame!$T$20,livegame!$U$20&lt;&gt;"",B2="",B1&lt;&gt;""),livegame!$U$20,"")))</f>
        <v/>
      </c>
      <c r="B2" t="str">
        <f>IF(livegame!$V$21,"",IF(livegame!$T$20,B2,A2))</f>
        <v/>
      </c>
    </row>
    <row r="3" spans="1:4">
      <c r="A3" t="str">
        <f>IF(livegame!$V$21,"",IF(A3&lt;&gt;"",A3,IF(AND(livegame!$T$20,livegame!$U$20&lt;&gt;"",B3="",B2&lt;&gt;""),livegame!$U$20,"")))</f>
        <v/>
      </c>
      <c r="B3" t="str">
        <f>IF(livegame!$V$21,"",IF(livegame!$T$20,B3,A3))</f>
        <v/>
      </c>
    </row>
    <row r="4" spans="1:4">
      <c r="A4" t="str">
        <f>IF(livegame!$V$21,"",IF(A4&lt;&gt;"",A4,IF(AND(livegame!$T$20,livegame!$U$20&lt;&gt;"",B4="",B3&lt;&gt;""),livegame!$U$20,"")))</f>
        <v/>
      </c>
      <c r="B4" t="str">
        <f>IF(livegame!$V$21,"",IF(livegame!$T$20,B4,A4))</f>
        <v/>
      </c>
      <c r="D4" t="s">
        <v>40</v>
      </c>
    </row>
    <row r="5" spans="1:4">
      <c r="A5" t="str">
        <f>IF(livegame!$V$21,"",IF(A5&lt;&gt;"",A5,IF(AND(livegame!$T$20,livegame!$U$20&lt;&gt;"",B5="",B4&lt;&gt;""),livegame!$U$20,"")))</f>
        <v/>
      </c>
      <c r="B5" t="str">
        <f>IF(livegame!$V$21,"",IF(livegame!$T$20,B5,A5))</f>
        <v/>
      </c>
    </row>
    <row r="6" spans="1:4">
      <c r="A6" t="str">
        <f>IF(livegame!$V$21,"",IF(A6&lt;&gt;"",A6,IF(AND(livegame!$T$20,livegame!$U$20&lt;&gt;"",B6="",B5&lt;&gt;""),livegame!$U$20,"")))</f>
        <v/>
      </c>
      <c r="B6" t="str">
        <f>IF(livegame!$V$21,"",IF(livegame!$T$20,B6,A6))</f>
        <v/>
      </c>
    </row>
    <row r="7" spans="1:4">
      <c r="A7" t="str">
        <f>IF(livegame!$V$21,"",IF(A7&lt;&gt;"",A7,IF(AND(livegame!$T$20,livegame!$U$20&lt;&gt;"",B7="",B6&lt;&gt;""),livegame!$U$20,"")))</f>
        <v/>
      </c>
      <c r="B7" t="str">
        <f>IF(livegame!$V$21,"",IF(livegame!$T$20,B7,A7))</f>
        <v/>
      </c>
    </row>
    <row r="8" spans="1:4">
      <c r="A8" t="str">
        <f>IF(livegame!$V$21,"",IF(A8&lt;&gt;"",A8,IF(AND(livegame!$T$20,livegame!$U$20&lt;&gt;"",B8="",B7&lt;&gt;""),livegame!$U$20,"")))</f>
        <v/>
      </c>
      <c r="B8" t="str">
        <f>IF(livegame!$V$21,"",IF(livegame!$T$20,B8,A8))</f>
        <v/>
      </c>
    </row>
    <row r="9" spans="1:4">
      <c r="A9" t="str">
        <f>IF(livegame!$V$21,"",IF(A9&lt;&gt;"",A9,IF(AND(livegame!$T$20,livegame!$U$20&lt;&gt;"",B9="",B8&lt;&gt;""),livegame!$U$20,"")))</f>
        <v/>
      </c>
      <c r="B9" t="str">
        <f>IF(livegame!$V$21,"",IF(livegame!$T$20,B9,A9))</f>
        <v/>
      </c>
    </row>
    <row r="10" spans="1:4">
      <c r="A10" t="str">
        <f>IF(livegame!$V$21,"",IF(A10&lt;&gt;"",A10,IF(AND(livegame!$T$20,livegame!$U$20&lt;&gt;"",B10="",B9&lt;&gt;""),livegame!$U$20,"")))</f>
        <v/>
      </c>
      <c r="B10" t="str">
        <f>IF(livegame!$V$21,"",IF(livegame!$T$20,B10,A10))</f>
        <v/>
      </c>
    </row>
    <row r="11" spans="1:4">
      <c r="A11" t="str">
        <f>IF(livegame!$V$21,"",IF(A11&lt;&gt;"",A11,IF(AND(livegame!$T$20,livegame!$U$20&lt;&gt;"",B11="",B10&lt;&gt;""),livegame!$U$20,"")))</f>
        <v/>
      </c>
      <c r="B11" t="str">
        <f>IF(livegame!$V$21,"",IF(livegame!$T$20,B11,A11))</f>
        <v/>
      </c>
    </row>
    <row r="12" spans="1:4">
      <c r="A12" t="str">
        <f>IF(livegame!$V$21,"",IF(A12&lt;&gt;"",A12,IF(AND(livegame!$T$20,livegame!$U$20&lt;&gt;"",B12="",B11&lt;&gt;""),livegame!$U$20,"")))</f>
        <v/>
      </c>
      <c r="B12" t="str">
        <f>IF(livegame!$V$21,"",IF(livegame!$T$20,B12,A12))</f>
        <v/>
      </c>
    </row>
    <row r="13" spans="1:4">
      <c r="A13" t="str">
        <f>IF(livegame!$V$21,"",IF(A13&lt;&gt;"",A13,IF(AND(livegame!$T$20,livegame!$U$20&lt;&gt;"",B13="",B12&lt;&gt;""),livegame!$U$20,"")))</f>
        <v/>
      </c>
      <c r="B13" t="str">
        <f>IF(livegame!$V$21,"",IF(livegame!$T$20,B13,A13))</f>
        <v/>
      </c>
    </row>
    <row r="14" spans="1:4">
      <c r="A14" t="str">
        <f>IF(livegame!$V$21,"",IF(A14&lt;&gt;"",A14,IF(AND(livegame!$T$20,livegame!$U$20&lt;&gt;"",B14="",B13&lt;&gt;""),livegame!$U$20,"")))</f>
        <v/>
      </c>
      <c r="B14" t="str">
        <f>IF(livegame!$V$21,"",IF(livegame!$T$20,B14,A14))</f>
        <v/>
      </c>
    </row>
    <row r="15" spans="1:4">
      <c r="A15" t="str">
        <f>IF(livegame!$V$21,"",IF(A15&lt;&gt;"",A15,IF(AND(livegame!$T$20,livegame!$U$20&lt;&gt;"",B15="",B14&lt;&gt;""),livegame!$U$20,"")))</f>
        <v/>
      </c>
      <c r="B15" t="str">
        <f>IF(livegame!$V$21,"",IF(livegame!$T$20,B15,A15))</f>
        <v/>
      </c>
    </row>
    <row r="16" spans="1:4">
      <c r="A16" t="str">
        <f>IF(livegame!$V$21,"",IF(A16&lt;&gt;"",A16,IF(AND(livegame!$T$20,livegame!$U$20&lt;&gt;"",B16="",B15&lt;&gt;""),livegame!$U$20,"")))</f>
        <v/>
      </c>
      <c r="B16" t="str">
        <f>IF(livegame!$V$21,"",IF(livegame!$T$20,B16,A16))</f>
        <v/>
      </c>
    </row>
    <row r="17" spans="1:2">
      <c r="A17" t="str">
        <f>IF(livegame!$V$21,"",IF(A17&lt;&gt;"",A17,IF(AND(livegame!$T$20,livegame!$U$20&lt;&gt;"",B17="",B16&lt;&gt;""),livegame!$U$20,"")))</f>
        <v/>
      </c>
      <c r="B17" t="str">
        <f>IF(livegame!$V$21,"",IF(livegame!$T$20,B17,A17))</f>
        <v/>
      </c>
    </row>
    <row r="18" spans="1:2">
      <c r="A18" t="str">
        <f>IF(livegame!$V$21,"",IF(A18&lt;&gt;"",A18,IF(AND(livegame!$T$20,livegame!$U$20&lt;&gt;"",B18="",B17&lt;&gt;""),livegame!$U$20,"")))</f>
        <v/>
      </c>
      <c r="B18" t="str">
        <f>IF(livegame!$V$21,"",IF(livegame!$T$20,B18,A18))</f>
        <v/>
      </c>
    </row>
    <row r="19" spans="1:2">
      <c r="A19" t="str">
        <f>IF(livegame!$V$21,"",IF(A19&lt;&gt;"",A19,IF(AND(livegame!$T$20,livegame!$U$20&lt;&gt;"",B19="",B18&lt;&gt;""),livegame!$U$20,"")))</f>
        <v/>
      </c>
      <c r="B19" t="str">
        <f>IF(livegame!$V$21,"",IF(livegame!$T$20,B19,A19))</f>
        <v/>
      </c>
    </row>
    <row r="20" spans="1:2">
      <c r="A20" t="str">
        <f>IF(livegame!$V$21,"",IF(A20&lt;&gt;"",A20,IF(AND(livegame!$T$20,livegame!$U$20&lt;&gt;"",B20="",B19&lt;&gt;""),livegame!$U$20,"")))</f>
        <v/>
      </c>
      <c r="B20" t="str">
        <f>IF(livegame!$V$21,"",IF(livegame!$T$20,B20,A20))</f>
        <v/>
      </c>
    </row>
    <row r="21" spans="1:2">
      <c r="A21" t="str">
        <f>IF(livegame!$V$21,"",IF(A21&lt;&gt;"",A21,IF(AND(livegame!$T$20,livegame!$U$20&lt;&gt;"",B21="",B20&lt;&gt;""),livegame!$U$20,"")))</f>
        <v/>
      </c>
      <c r="B21" t="str">
        <f>IF(livegame!$V$21,"",IF(livegame!$T$20,B21,A21))</f>
        <v/>
      </c>
    </row>
    <row r="22" spans="1:2">
      <c r="A22" t="str">
        <f>IF(livegame!$V$21,"",IF(A22&lt;&gt;"",A22,IF(AND(livegame!$T$20,livegame!$U$20&lt;&gt;"",B22="",B21&lt;&gt;""),livegame!$U$20,"")))</f>
        <v/>
      </c>
      <c r="B22" t="str">
        <f>IF(livegame!$V$21,"",IF(livegame!$T$20,B22,A22))</f>
        <v/>
      </c>
    </row>
    <row r="23" spans="1:2">
      <c r="A23" t="str">
        <f>IF(livegame!$V$21,"",IF(A23&lt;&gt;"",A23,IF(AND(livegame!$T$20,livegame!$U$20&lt;&gt;"",B23="",B22&lt;&gt;""),livegame!$U$20,"")))</f>
        <v/>
      </c>
      <c r="B23" t="str">
        <f>IF(livegame!$V$21,"",IF(livegame!$T$20,B23,A23))</f>
        <v/>
      </c>
    </row>
    <row r="24" spans="1:2">
      <c r="A24" t="str">
        <f>IF(livegame!$V$21,"",IF(A24&lt;&gt;"",A24,IF(AND(livegame!$T$20,livegame!$U$20&lt;&gt;"",B24="",B23&lt;&gt;""),livegame!$U$20,"")))</f>
        <v/>
      </c>
      <c r="B24" t="str">
        <f>IF(livegame!$V$21,"",IF(livegame!$T$20,B24,A24))</f>
        <v/>
      </c>
    </row>
    <row r="25" spans="1:2">
      <c r="A25" t="str">
        <f>IF(livegame!$V$21,"",IF(A25&lt;&gt;"",A25,IF(AND(livegame!$T$20,livegame!$U$20&lt;&gt;"",B25="",B24&lt;&gt;""),livegame!$U$20,"")))</f>
        <v/>
      </c>
      <c r="B25" t="str">
        <f>IF(livegame!$V$21,"",IF(livegame!$T$20,B25,A25))</f>
        <v/>
      </c>
    </row>
    <row r="26" spans="1:2">
      <c r="A26" t="str">
        <f>IF(livegame!$V$21,"",IF(A26&lt;&gt;"",A26,IF(AND(livegame!$T$20,livegame!$U$20&lt;&gt;"",B26="",B25&lt;&gt;""),livegame!$U$20,"")))</f>
        <v/>
      </c>
      <c r="B26" t="str">
        <f>IF(livegame!$V$21,"",IF(livegame!$T$20,B26,A26))</f>
        <v/>
      </c>
    </row>
    <row r="27" spans="1:2">
      <c r="A27" t="str">
        <f>IF(livegame!$V$21,"",IF(A27&lt;&gt;"",A27,IF(AND(livegame!$T$20,livegame!$U$20&lt;&gt;"",B27="",B26&lt;&gt;""),livegame!$U$20,"")))</f>
        <v/>
      </c>
      <c r="B27" t="str">
        <f>IF(livegame!$V$21,"",IF(livegame!$T$20,B27,A27))</f>
        <v/>
      </c>
    </row>
    <row r="28" spans="1:2">
      <c r="A28" t="str">
        <f>IF(livegame!$V$21,"",IF(A28&lt;&gt;"",A28,IF(AND(livegame!$T$20,livegame!$U$20&lt;&gt;"",B28="",B27&lt;&gt;""),livegame!$U$20,"")))</f>
        <v/>
      </c>
      <c r="B28" t="str">
        <f>IF(livegame!$V$21,"",IF(livegame!$T$20,B28,A28))</f>
        <v/>
      </c>
    </row>
    <row r="29" spans="1:2">
      <c r="A29" t="str">
        <f>IF(livegame!$V$21,"",IF(A29&lt;&gt;"",A29,IF(AND(livegame!$T$20,livegame!$U$20&lt;&gt;"",B29="",B28&lt;&gt;""),livegame!$U$20,"")))</f>
        <v/>
      </c>
      <c r="B29" t="str">
        <f>IF(livegame!$V$21,"",IF(livegame!$T$20,B29,A29))</f>
        <v/>
      </c>
    </row>
    <row r="30" spans="1:2">
      <c r="A30" t="str">
        <f>IF(livegame!$V$21,"",IF(A30&lt;&gt;"",A30,IF(AND(livegame!$T$20,livegame!$U$20&lt;&gt;"",B30="",B29&lt;&gt;""),livegame!$U$20,"")))</f>
        <v/>
      </c>
      <c r="B30" t="str">
        <f>IF(livegame!$V$21,"",IF(livegame!$T$20,B30,A30))</f>
        <v/>
      </c>
    </row>
    <row r="31" spans="1:2">
      <c r="A31" t="str">
        <f>IF(livegame!$V$21,"",IF(A31&lt;&gt;"",A31,IF(AND(livegame!$T$20,livegame!$U$20&lt;&gt;"",B31="",B30&lt;&gt;""),livegame!$U$20,"")))</f>
        <v/>
      </c>
      <c r="B31" t="str">
        <f>IF(livegame!$V$21,"",IF(livegame!$T$20,B31,A31))</f>
        <v/>
      </c>
    </row>
    <row r="32" spans="1:2">
      <c r="A32" t="str">
        <f>IF(livegame!$V$21,"",IF(A32&lt;&gt;"",A32,IF(AND(livegame!$T$20,livegame!$U$20&lt;&gt;"",B32="",B31&lt;&gt;""),livegame!$U$20,"")))</f>
        <v/>
      </c>
      <c r="B32" t="str">
        <f>IF(livegame!$V$21,"",IF(livegame!$T$20,B32,A32))</f>
        <v/>
      </c>
    </row>
    <row r="33" spans="1:2">
      <c r="A33" t="str">
        <f>IF(livegame!$V$21,"",IF(A33&lt;&gt;"",A33,IF(AND(livegame!$T$20,livegame!$U$20&lt;&gt;"",B33="",B32&lt;&gt;""),livegame!$U$20,"")))</f>
        <v/>
      </c>
      <c r="B33" t="str">
        <f>IF(livegame!$V$21,"",IF(livegame!$T$20,B33,A33))</f>
        <v/>
      </c>
    </row>
    <row r="34" spans="1:2">
      <c r="A34" t="str">
        <f>IF(livegame!$V$21,"",IF(A34&lt;&gt;"",A34,IF(AND(livegame!$T$20,livegame!$U$20&lt;&gt;"",B34="",B33&lt;&gt;""),livegame!$U$20,"")))</f>
        <v/>
      </c>
      <c r="B34" t="str">
        <f>IF(livegame!$V$21,"",IF(livegame!$T$20,B34,A34))</f>
        <v/>
      </c>
    </row>
    <row r="35" spans="1:2">
      <c r="A35" t="str">
        <f>IF(livegame!$V$21,"",IF(A35&lt;&gt;"",A35,IF(AND(livegame!$T$20,livegame!$U$20&lt;&gt;"",B35="",B34&lt;&gt;""),livegame!$U$20,"")))</f>
        <v/>
      </c>
      <c r="B35" t="str">
        <f>IF(livegame!$V$21,"",IF(livegame!$T$20,B35,A35))</f>
        <v/>
      </c>
    </row>
    <row r="36" spans="1:2">
      <c r="A36" t="str">
        <f>IF(livegame!$V$21,"",IF(A36&lt;&gt;"",A36,IF(AND(livegame!$T$20,livegame!$U$20&lt;&gt;"",B36="",B35&lt;&gt;""),livegame!$U$20,"")))</f>
        <v/>
      </c>
      <c r="B36" t="str">
        <f>IF(livegame!$V$21,"",IF(livegame!$T$20,B36,A36))</f>
        <v/>
      </c>
    </row>
    <row r="37" spans="1:2">
      <c r="A37" t="str">
        <f>IF(livegame!$V$21,"",IF(A37&lt;&gt;"",A37,IF(AND(livegame!$T$20,livegame!$U$20&lt;&gt;"",B37="",B36&lt;&gt;""),livegame!$U$20,"")))</f>
        <v/>
      </c>
      <c r="B37" t="str">
        <f>IF(livegame!$V$21,"",IF(livegame!$T$20,B37,A37))</f>
        <v/>
      </c>
    </row>
    <row r="38" spans="1:2">
      <c r="A38" t="str">
        <f>IF(livegame!$V$21,"",IF(A38&lt;&gt;"",A38,IF(AND(livegame!$T$20,livegame!$U$20&lt;&gt;"",B38="",B37&lt;&gt;""),livegame!$U$20,"")))</f>
        <v/>
      </c>
      <c r="B38" t="str">
        <f>IF(livegame!$V$21,"",IF(livegame!$T$20,B38,A38))</f>
        <v/>
      </c>
    </row>
    <row r="39" spans="1:2">
      <c r="A39" t="str">
        <f>IF(livegame!$V$21,"",IF(A39&lt;&gt;"",A39,IF(AND(livegame!$T$20,livegame!$U$20&lt;&gt;"",B39="",B38&lt;&gt;""),livegame!$U$20,"")))</f>
        <v/>
      </c>
      <c r="B39" t="str">
        <f>IF(livegame!$V$21,"",IF(livegame!$T$20,B39,A39))</f>
        <v/>
      </c>
    </row>
    <row r="40" spans="1:2">
      <c r="A40" t="str">
        <f>IF(livegame!$V$21,"",IF(A40&lt;&gt;"",A40,IF(AND(livegame!$T$20,livegame!$U$20&lt;&gt;"",B40="",B39&lt;&gt;""),livegame!$U$20,"")))</f>
        <v/>
      </c>
      <c r="B40" t="str">
        <f>IF(livegame!$V$21,"",IF(livegame!$T$20,B40,A40))</f>
        <v/>
      </c>
    </row>
    <row r="41" spans="1:2">
      <c r="A41" t="str">
        <f>IF(livegame!$V$21,"",IF(A41&lt;&gt;"",A41,IF(AND(livegame!$T$20,livegame!$U$20&lt;&gt;"",B41="",B40&lt;&gt;""),livegame!$U$20,"")))</f>
        <v/>
      </c>
      <c r="B41" t="str">
        <f>IF(livegame!$V$21,"",IF(livegame!$T$20,B41,A41))</f>
        <v/>
      </c>
    </row>
    <row r="42" spans="1:2">
      <c r="A42" t="str">
        <f>IF(livegame!$V$21,"",IF(A42&lt;&gt;"",A42,IF(AND(livegame!$T$20,livegame!$U$20&lt;&gt;"",B42="",B41&lt;&gt;""),livegame!$U$20,"")))</f>
        <v/>
      </c>
      <c r="B42" t="str">
        <f>IF(livegame!$V$21,"",IF(livegame!$T$20,B42,A42))</f>
        <v/>
      </c>
    </row>
    <row r="43" spans="1:2">
      <c r="A43" t="str">
        <f>IF(livegame!$V$21,"",IF(A43&lt;&gt;"",A43,IF(AND(livegame!$T$20,livegame!$U$20&lt;&gt;"",B43="",B42&lt;&gt;""),livegame!$U$20,"")))</f>
        <v/>
      </c>
      <c r="B43" t="str">
        <f>IF(livegame!$V$21,"",IF(livegame!$T$20,B43,A43))</f>
        <v/>
      </c>
    </row>
    <row r="44" spans="1:2">
      <c r="A44" t="str">
        <f>IF(livegame!$V$21,"",IF(A44&lt;&gt;"",A44,IF(AND(livegame!$T$20,livegame!$U$20&lt;&gt;"",B44="",B43&lt;&gt;""),livegame!$U$20,"")))</f>
        <v/>
      </c>
      <c r="B44" t="str">
        <f>IF(livegame!$V$21,"",IF(livegame!$T$20,B44,A44))</f>
        <v/>
      </c>
    </row>
    <row r="45" spans="1:2">
      <c r="A45" t="str">
        <f>IF(livegame!$V$21,"",IF(A45&lt;&gt;"",A45,IF(AND(livegame!$T$20,livegame!$U$20&lt;&gt;"",B45="",B44&lt;&gt;""),livegame!$U$20,"")))</f>
        <v/>
      </c>
      <c r="B45" t="str">
        <f>IF(livegame!$V$21,"",IF(livegame!$T$20,B45,A45))</f>
        <v/>
      </c>
    </row>
    <row r="46" spans="1:2">
      <c r="A46" t="str">
        <f>IF(livegame!$V$21,"",IF(A46&lt;&gt;"",A46,IF(AND(livegame!$T$20,livegame!$U$20&lt;&gt;"",B46="",B45&lt;&gt;""),livegame!$U$20,"")))</f>
        <v/>
      </c>
      <c r="B46" t="str">
        <f>IF(livegame!$V$21,"",IF(livegame!$T$20,B46,A46))</f>
        <v/>
      </c>
    </row>
    <row r="47" spans="1:2">
      <c r="A47" t="str">
        <f>IF(livegame!$V$21,"",IF(A47&lt;&gt;"",A47,IF(AND(livegame!$T$20,livegame!$U$20&lt;&gt;"",B47="",B46&lt;&gt;""),livegame!$U$20,"")))</f>
        <v/>
      </c>
      <c r="B47" t="str">
        <f>IF(livegame!$V$21,"",IF(livegame!$T$20,B47,A47))</f>
        <v/>
      </c>
    </row>
    <row r="48" spans="1:2">
      <c r="A48" t="str">
        <f>IF(livegame!$V$21,"",IF(A48&lt;&gt;"",A48,IF(AND(livegame!$T$20,livegame!$U$20&lt;&gt;"",B48="",B47&lt;&gt;""),livegame!$U$20,"")))</f>
        <v/>
      </c>
      <c r="B48" t="str">
        <f>IF(livegame!$V$21,"",IF(livegame!$T$20,B48,A48))</f>
        <v/>
      </c>
    </row>
    <row r="49" spans="1:2">
      <c r="A49" t="str">
        <f>IF(livegame!$V$21,"",IF(A49&lt;&gt;"",A49,IF(AND(livegame!$T$20,livegame!$U$20&lt;&gt;"",B49="",B48&lt;&gt;""),livegame!$U$20,"")))</f>
        <v/>
      </c>
      <c r="B49" t="str">
        <f>IF(livegame!$V$21,"",IF(livegame!$T$20,B49,A49))</f>
        <v/>
      </c>
    </row>
    <row r="50" spans="1:2">
      <c r="A50" t="str">
        <f>IF(livegame!$V$21,"",IF(A50&lt;&gt;"",A50,IF(AND(livegame!$T$20,livegame!$U$20&lt;&gt;"",B50="",B49&lt;&gt;""),livegame!$U$20,"")))</f>
        <v/>
      </c>
      <c r="B50" t="str">
        <f>IF(livegame!$V$21,"",IF(livegame!$T$20,B50,A50))</f>
        <v/>
      </c>
    </row>
    <row r="51" spans="1:2">
      <c r="A51" t="str">
        <f>IF(livegame!$V$21,"",IF(A51&lt;&gt;"",A51,IF(AND(livegame!$T$20,livegame!$U$20&lt;&gt;"",B51="",B50&lt;&gt;""),livegame!$U$20,"")))</f>
        <v/>
      </c>
      <c r="B51" t="str">
        <f>IF(livegame!$V$21,"",IF(livegame!$T$20,B51,A51))</f>
        <v/>
      </c>
    </row>
    <row r="52" spans="1:2">
      <c r="A52" t="str">
        <f>IF(livegame!$V$21,"",IF(A52&lt;&gt;"",A52,IF(AND(livegame!$T$20,livegame!$U$20&lt;&gt;"",B52="",B51&lt;&gt;""),livegame!$U$20,"")))</f>
        <v/>
      </c>
      <c r="B52" t="str">
        <f>IF(livegame!$V$21,"",IF(livegame!$T$20,B52,A52))</f>
        <v/>
      </c>
    </row>
    <row r="53" spans="1:2">
      <c r="A53" t="str">
        <f>IF(livegame!$V$21,"",IF(A53&lt;&gt;"",A53,IF(AND(livegame!$T$20,livegame!$U$20&lt;&gt;"",B53="",B52&lt;&gt;""),livegame!$U$20,"")))</f>
        <v/>
      </c>
      <c r="B53" t="str">
        <f>IF(livegame!$V$21,"",IF(livegame!$T$20,B53,A53))</f>
        <v/>
      </c>
    </row>
    <row r="54" spans="1:2">
      <c r="A54" t="str">
        <f>IF(livegame!$V$21,"",IF(A54&lt;&gt;"",A54,IF(AND(livegame!$T$20,livegame!$U$20&lt;&gt;"",B54="",B53&lt;&gt;""),livegame!$U$20,"")))</f>
        <v/>
      </c>
      <c r="B54" t="str">
        <f>IF(livegame!$V$21,"",IF(livegame!$T$20,B54,A54))</f>
        <v/>
      </c>
    </row>
    <row r="55" spans="1:2">
      <c r="A55" t="str">
        <f>IF(livegame!$V$21,"",IF(A55&lt;&gt;"",A55,IF(AND(livegame!$T$20,livegame!$U$20&lt;&gt;"",B55="",B54&lt;&gt;""),livegame!$U$20,"")))</f>
        <v/>
      </c>
      <c r="B55" t="str">
        <f>IF(livegame!$V$21,"",IF(livegame!$T$20,B55,A55))</f>
        <v/>
      </c>
    </row>
    <row r="56" spans="1:2">
      <c r="A56" t="str">
        <f>IF(livegame!$V$21,"",IF(A56&lt;&gt;"",A56,IF(AND(livegame!$T$20,livegame!$U$20&lt;&gt;"",B56="",B55&lt;&gt;""),livegame!$U$20,"")))</f>
        <v/>
      </c>
      <c r="B56" t="str">
        <f>IF(livegame!$V$21,"",IF(livegame!$T$20,B56,A56))</f>
        <v/>
      </c>
    </row>
    <row r="57" spans="1:2">
      <c r="A57" t="str">
        <f>IF(livegame!$V$21,"",IF(A57&lt;&gt;"",A57,IF(AND(livegame!$T$20,livegame!$U$20&lt;&gt;"",B57="",B56&lt;&gt;""),livegame!$U$20,"")))</f>
        <v/>
      </c>
      <c r="B57" t="str">
        <f>IF(livegame!$V$21,"",IF(livegame!$T$20,B57,A57))</f>
        <v/>
      </c>
    </row>
    <row r="58" spans="1:2">
      <c r="A58" t="str">
        <f>IF(livegame!$V$21,"",IF(A58&lt;&gt;"",A58,IF(AND(livegame!$T$20,livegame!$U$20&lt;&gt;"",B58="",B57&lt;&gt;""),livegame!$U$20,"")))</f>
        <v/>
      </c>
      <c r="B58" t="str">
        <f>IF(livegame!$V$21,"",IF(livegame!$T$20,B58,A58))</f>
        <v/>
      </c>
    </row>
    <row r="59" spans="1:2">
      <c r="A59" t="str">
        <f>IF(livegame!$V$21,"",IF(A59&lt;&gt;"",A59,IF(AND(livegame!$T$20,livegame!$U$20&lt;&gt;"",B59="",B58&lt;&gt;""),livegame!$U$20,"")))</f>
        <v/>
      </c>
      <c r="B59" t="str">
        <f>IF(livegame!$V$21,"",IF(livegame!$T$20,B59,A59))</f>
        <v/>
      </c>
    </row>
    <row r="60" spans="1:2">
      <c r="A60" t="str">
        <f>IF(livegame!$V$21,"",IF(A60&lt;&gt;"",A60,IF(AND(livegame!$T$20,livegame!$U$20&lt;&gt;"",B60="",B59&lt;&gt;""),livegame!$U$20,"")))</f>
        <v/>
      </c>
      <c r="B60" t="str">
        <f>IF(livegame!$V$21,"",IF(livegame!$T$20,B60,A60))</f>
        <v/>
      </c>
    </row>
    <row r="61" spans="1:2">
      <c r="A61" t="str">
        <f>IF(livegame!$V$21,"",IF(A61&lt;&gt;"",A61,IF(AND(livegame!$T$20,livegame!$U$20&lt;&gt;"",B61="",B60&lt;&gt;""),livegame!$U$20,"")))</f>
        <v/>
      </c>
      <c r="B61" t="str">
        <f>IF(livegame!$V$21,"",IF(livegame!$T$20,B61,A61))</f>
        <v/>
      </c>
    </row>
    <row r="62" spans="1:2">
      <c r="A62" t="str">
        <f>IF(livegame!$V$21,"",IF(A62&lt;&gt;"",A62,IF(AND(livegame!$T$20,livegame!$U$20&lt;&gt;"",B62="",B61&lt;&gt;""),livegame!$U$20,"")))</f>
        <v/>
      </c>
      <c r="B62" t="str">
        <f>IF(livegame!$V$21,"",IF(livegame!$T$20,B62,A62))</f>
        <v/>
      </c>
    </row>
    <row r="63" spans="1:2">
      <c r="A63" t="str">
        <f>IF(livegame!$V$21,"",IF(A63&lt;&gt;"",A63,IF(AND(livegame!$T$20,livegame!$U$20&lt;&gt;"",B63="",B62&lt;&gt;""),livegame!$U$20,"")))</f>
        <v/>
      </c>
      <c r="B63" t="str">
        <f>IF(livegame!$V$21,"",IF(livegame!$T$20,B63,A63))</f>
        <v/>
      </c>
    </row>
    <row r="64" spans="1:2">
      <c r="A64" t="str">
        <f>IF(livegame!$V$21,"",IF(A64&lt;&gt;"",A64,IF(AND(livegame!$T$20,livegame!$U$20&lt;&gt;"",B64="",B63&lt;&gt;""),livegame!$U$20,"")))</f>
        <v/>
      </c>
      <c r="B64" t="str">
        <f>IF(livegame!$V$21,"",IF(livegame!$T$20,B64,A64))</f>
        <v/>
      </c>
    </row>
    <row r="65" spans="1:2">
      <c r="A65" t="str">
        <f>IF(livegame!$V$21,"",IF(A65&lt;&gt;"",A65,IF(AND(livegame!$T$20,livegame!$U$20&lt;&gt;"",B65="",B64&lt;&gt;""),livegame!$U$20,"")))</f>
        <v/>
      </c>
      <c r="B65" t="str">
        <f>IF(livegame!$V$21,"",IF(livegame!$T$20,B65,A65))</f>
        <v/>
      </c>
    </row>
    <row r="66" spans="1:2">
      <c r="A66" t="str">
        <f>IF(livegame!$V$21,"",IF(A66&lt;&gt;"",A66,IF(AND(livegame!$T$20,livegame!$U$20&lt;&gt;"",B66="",B65&lt;&gt;""),livegame!$U$20,"")))</f>
        <v/>
      </c>
      <c r="B66" t="str">
        <f>IF(livegame!$V$21,"",IF(livegame!$T$20,B66,A66))</f>
        <v/>
      </c>
    </row>
    <row r="67" spans="1:2">
      <c r="A67" t="str">
        <f>IF(livegame!$V$21,"",IF(A67&lt;&gt;"",A67,IF(AND(livegame!$T$20,livegame!$U$20&lt;&gt;"",B67="",B66&lt;&gt;""),livegame!$U$20,"")))</f>
        <v/>
      </c>
      <c r="B67" t="str">
        <f>IF(livegame!$V$21,"",IF(livegame!$T$20,B67,A67))</f>
        <v/>
      </c>
    </row>
    <row r="68" spans="1:2">
      <c r="A68" t="str">
        <f>IF(livegame!$V$21,"",IF(A68&lt;&gt;"",A68,IF(AND(livegame!$T$20,livegame!$U$20&lt;&gt;"",B68="",B67&lt;&gt;""),livegame!$U$20,"")))</f>
        <v/>
      </c>
      <c r="B68" t="str">
        <f>IF(livegame!$V$21,"",IF(livegame!$T$20,B68,A68))</f>
        <v/>
      </c>
    </row>
    <row r="69" spans="1:2">
      <c r="A69" t="str">
        <f>IF(livegame!$V$21,"",IF(A69&lt;&gt;"",A69,IF(AND(livegame!$T$20,livegame!$U$20&lt;&gt;"",B69="",B68&lt;&gt;""),livegame!$U$20,"")))</f>
        <v/>
      </c>
      <c r="B69" t="str">
        <f>IF(livegame!$V$21,"",IF(livegame!$T$20,B69,A69))</f>
        <v/>
      </c>
    </row>
    <row r="70" spans="1:2">
      <c r="A70" t="str">
        <f>IF(livegame!$V$21,"",IF(A70&lt;&gt;"",A70,IF(AND(livegame!$T$20,livegame!$U$20&lt;&gt;"",B70="",B69&lt;&gt;""),livegame!$U$20,"")))</f>
        <v/>
      </c>
      <c r="B70" t="str">
        <f>IF(livegame!$V$21,"",IF(livegame!$T$20,B70,A70))</f>
        <v/>
      </c>
    </row>
    <row r="71" spans="1:2">
      <c r="A71" t="str">
        <f>IF(livegame!$V$21,"",IF(A71&lt;&gt;"",A71,IF(AND(livegame!$T$20,livegame!$U$20&lt;&gt;"",B71="",B70&lt;&gt;""),livegame!$U$20,"")))</f>
        <v/>
      </c>
      <c r="B71" t="str">
        <f>IF(livegame!$V$21,"",IF(livegame!$T$20,B71,A71))</f>
        <v/>
      </c>
    </row>
    <row r="72" spans="1:2">
      <c r="A72" t="str">
        <f>IF(livegame!$V$21,"",IF(A72&lt;&gt;"",A72,IF(AND(livegame!$T$20,livegame!$U$20&lt;&gt;"",B72="",B71&lt;&gt;""),livegame!$U$20,"")))</f>
        <v/>
      </c>
      <c r="B72" t="str">
        <f>IF(livegame!$V$21,"",IF(livegame!$T$20,B72,A72))</f>
        <v/>
      </c>
    </row>
    <row r="73" spans="1:2">
      <c r="A73" t="str">
        <f>IF(livegame!$V$21,"",IF(A73&lt;&gt;"",A73,IF(AND(livegame!$T$20,livegame!$U$20&lt;&gt;"",B73="",B72&lt;&gt;""),livegame!$U$20,"")))</f>
        <v/>
      </c>
      <c r="B73" t="str">
        <f>IF(livegame!$V$21,"",IF(livegame!$T$20,B73,A73))</f>
        <v/>
      </c>
    </row>
    <row r="74" spans="1:2">
      <c r="A74" t="str">
        <f>IF(livegame!$V$21,"",IF(A74&lt;&gt;"",A74,IF(AND(livegame!$T$20,livegame!$U$20&lt;&gt;"",B74="",B73&lt;&gt;""),livegame!$U$20,"")))</f>
        <v/>
      </c>
      <c r="B74" t="str">
        <f>IF(livegame!$V$21,"",IF(livegame!$T$20,B74,A74))</f>
        <v/>
      </c>
    </row>
    <row r="75" spans="1:2">
      <c r="A75" t="str">
        <f>IF(livegame!$V$21,"",IF(A75&lt;&gt;"",A75,IF(AND(livegame!$T$20,livegame!$U$20&lt;&gt;"",B75="",B74&lt;&gt;""),livegame!$U$20,"")))</f>
        <v/>
      </c>
      <c r="B75" t="str">
        <f>IF(livegame!$V$21,"",IF(livegame!$T$20,B75,A75))</f>
        <v/>
      </c>
    </row>
    <row r="76" spans="1:2">
      <c r="A76" t="str">
        <f>IF(livegame!$V$21,"",IF(A76&lt;&gt;"",A76,IF(AND(livegame!$T$20,livegame!$U$20&lt;&gt;"",B76="",B75&lt;&gt;""),livegame!$U$20,"")))</f>
        <v/>
      </c>
      <c r="B76" t="str">
        <f>IF(livegame!$V$21,"",IF(livegame!$T$20,B76,A76))</f>
        <v/>
      </c>
    </row>
    <row r="77" spans="1:2">
      <c r="A77" t="str">
        <f>IF(livegame!$V$21,"",IF(A77&lt;&gt;"",A77,IF(AND(livegame!$T$20,livegame!$U$20&lt;&gt;"",B77="",B76&lt;&gt;""),livegame!$U$20,"")))</f>
        <v/>
      </c>
      <c r="B77" t="str">
        <f>IF(livegame!$V$21,"",IF(livegame!$T$20,B77,A77))</f>
        <v/>
      </c>
    </row>
    <row r="78" spans="1:2">
      <c r="A78" t="str">
        <f>IF(livegame!$V$21,"",IF(A78&lt;&gt;"",A78,IF(AND(livegame!$T$20,livegame!$U$20&lt;&gt;"",B78="",B77&lt;&gt;""),livegame!$U$20,"")))</f>
        <v/>
      </c>
      <c r="B78" t="str">
        <f>IF(livegame!$V$21,"",IF(livegame!$T$20,B78,A78))</f>
        <v/>
      </c>
    </row>
    <row r="79" spans="1:2">
      <c r="A79" t="str">
        <f>IF(livegame!$V$21,"",IF(A79&lt;&gt;"",A79,IF(AND(livegame!$T$20,livegame!$U$20&lt;&gt;"",B79="",B78&lt;&gt;""),livegame!$U$20,"")))</f>
        <v/>
      </c>
      <c r="B79" t="str">
        <f>IF(livegame!$V$21,"",IF(livegame!$T$20,B79,A79))</f>
        <v/>
      </c>
    </row>
    <row r="80" spans="1:2">
      <c r="A80" t="str">
        <f>IF(livegame!$V$21,"",IF(A80&lt;&gt;"",A80,IF(AND(livegame!$T$20,livegame!$U$20&lt;&gt;"",B80="",B79&lt;&gt;""),livegame!$U$20,"")))</f>
        <v/>
      </c>
      <c r="B80" t="str">
        <f>IF(livegame!$V$21,"",IF(livegame!$T$20,B80,A80))</f>
        <v/>
      </c>
    </row>
    <row r="81" spans="1:2">
      <c r="A81" t="str">
        <f>IF(livegame!$V$21,"",IF(A81&lt;&gt;"",A81,IF(AND(livegame!$T$20,livegame!$U$20&lt;&gt;"",B81="",B80&lt;&gt;""),livegame!$U$20,"")))</f>
        <v/>
      </c>
      <c r="B81" t="str">
        <f>IF(livegame!$V$21,"",IF(livegame!$T$20,B81,A81))</f>
        <v/>
      </c>
    </row>
    <row r="82" spans="1:2">
      <c r="A82" t="str">
        <f>IF(livegame!$V$21,"",IF(A82&lt;&gt;"",A82,IF(AND(livegame!$T$20,livegame!$U$20&lt;&gt;"",B82="",B81&lt;&gt;""),livegame!$U$20,"")))</f>
        <v/>
      </c>
      <c r="B82" t="str">
        <f>IF(livegame!$V$21,"",IF(livegame!$T$20,B82,A82))</f>
        <v/>
      </c>
    </row>
    <row r="83" spans="1:2">
      <c r="A83" t="str">
        <f>IF(livegame!$V$21,"",IF(A83&lt;&gt;"",A83,IF(AND(livegame!$T$20,livegame!$U$20&lt;&gt;"",B83="",B82&lt;&gt;""),livegame!$U$20,"")))</f>
        <v/>
      </c>
      <c r="B83" t="str">
        <f>IF(livegame!$V$21,"",IF(livegame!$T$20,B83,A83))</f>
        <v/>
      </c>
    </row>
    <row r="84" spans="1:2">
      <c r="A84" t="str">
        <f>IF(livegame!$V$21,"",IF(A84&lt;&gt;"",A84,IF(AND(livegame!$T$20,livegame!$U$20&lt;&gt;"",B84="",B83&lt;&gt;""),livegame!$U$20,"")))</f>
        <v/>
      </c>
      <c r="B84" t="str">
        <f>IF(livegame!$V$21,"",IF(livegame!$T$20,B84,A84))</f>
        <v/>
      </c>
    </row>
    <row r="85" spans="1:2">
      <c r="A85" t="str">
        <f>IF(livegame!$V$21,"",IF(A85&lt;&gt;"",A85,IF(AND(livegame!$T$20,livegame!$U$20&lt;&gt;"",B85="",B84&lt;&gt;""),livegame!$U$20,"")))</f>
        <v/>
      </c>
      <c r="B85" t="str">
        <f>IF(livegame!$V$21,"",IF(livegame!$T$20,B85,A85))</f>
        <v/>
      </c>
    </row>
    <row r="86" spans="1:2">
      <c r="A86" t="str">
        <f>IF(livegame!$V$21,"",IF(A86&lt;&gt;"",A86,IF(AND(livegame!$T$20,livegame!$U$20&lt;&gt;"",B86="",B85&lt;&gt;""),livegame!$U$20,"")))</f>
        <v/>
      </c>
      <c r="B86" t="str">
        <f>IF(livegame!$V$21,"",IF(livegame!$T$20,B86,A86))</f>
        <v/>
      </c>
    </row>
    <row r="87" spans="1:2">
      <c r="A87" t="str">
        <f>IF(livegame!$V$21,"",IF(A87&lt;&gt;"",A87,IF(AND(livegame!$T$20,livegame!$U$20&lt;&gt;"",B87="",B86&lt;&gt;""),livegame!$U$20,"")))</f>
        <v/>
      </c>
      <c r="B87" t="str">
        <f>IF(livegame!$V$21,"",IF(livegame!$T$20,B87,A87))</f>
        <v/>
      </c>
    </row>
    <row r="88" spans="1:2">
      <c r="A88" t="str">
        <f>IF(livegame!$V$21,"",IF(A88&lt;&gt;"",A88,IF(AND(livegame!$T$20,livegame!$U$20&lt;&gt;"",B88="",B87&lt;&gt;""),livegame!$U$20,"")))</f>
        <v/>
      </c>
      <c r="B88" t="str">
        <f>IF(livegame!$V$21,"",IF(livegame!$T$20,B88,A88))</f>
        <v/>
      </c>
    </row>
    <row r="89" spans="1:2">
      <c r="A89" t="str">
        <f>IF(livegame!$V$21,"",IF(A89&lt;&gt;"",A89,IF(AND(livegame!$T$20,livegame!$U$20&lt;&gt;"",B89="",B88&lt;&gt;""),livegame!$U$20,"")))</f>
        <v/>
      </c>
      <c r="B89" t="str">
        <f>IF(livegame!$V$21,"",IF(livegame!$T$20,B89,A89))</f>
        <v/>
      </c>
    </row>
    <row r="90" spans="1:2">
      <c r="A90" t="str">
        <f>IF(livegame!$V$21,"",IF(A90&lt;&gt;"",A90,IF(AND(livegame!$T$20,livegame!$U$20&lt;&gt;"",B90="",B89&lt;&gt;""),livegame!$U$20,"")))</f>
        <v/>
      </c>
      <c r="B90" t="str">
        <f>IF(livegame!$V$21,"",IF(livegame!$T$20,B90,A90))</f>
        <v/>
      </c>
    </row>
    <row r="91" spans="1:2">
      <c r="A91" t="str">
        <f>IF(livegame!$V$21,"",IF(A91&lt;&gt;"",A91,IF(AND(livegame!$T$20,livegame!$U$20&lt;&gt;"",B91="",B90&lt;&gt;""),livegame!$U$20,"")))</f>
        <v/>
      </c>
      <c r="B91" t="str">
        <f>IF(livegame!$V$21,"",IF(livegame!$T$20,B91,A91))</f>
        <v/>
      </c>
    </row>
    <row r="92" spans="1:2">
      <c r="A92" t="str">
        <f>IF(livegame!$V$21,"",IF(A92&lt;&gt;"",A92,IF(AND(livegame!$T$20,livegame!$U$20&lt;&gt;"",B92="",B91&lt;&gt;""),livegame!$U$20,"")))</f>
        <v/>
      </c>
      <c r="B92" t="str">
        <f>IF(livegame!$V$21,"",IF(livegame!$T$20,B92,A92))</f>
        <v/>
      </c>
    </row>
    <row r="93" spans="1:2">
      <c r="A93" t="str">
        <f>IF(livegame!$V$21,"",IF(A93&lt;&gt;"",A93,IF(AND(livegame!$T$20,livegame!$U$20&lt;&gt;"",B93="",B92&lt;&gt;""),livegame!$U$20,"")))</f>
        <v/>
      </c>
      <c r="B93" t="str">
        <f>IF(livegame!$V$21,"",IF(livegame!$T$20,B93,A93))</f>
        <v/>
      </c>
    </row>
    <row r="94" spans="1:2">
      <c r="A94" t="str">
        <f>IF(livegame!$V$21,"",IF(A94&lt;&gt;"",A94,IF(AND(livegame!$T$20,livegame!$U$20&lt;&gt;"",B94="",B93&lt;&gt;""),livegame!$U$20,"")))</f>
        <v/>
      </c>
      <c r="B94" t="str">
        <f>IF(livegame!$V$21,"",IF(livegame!$T$20,B94,A94))</f>
        <v/>
      </c>
    </row>
    <row r="95" spans="1:2">
      <c r="A95" t="str">
        <f>IF(livegame!$V$21,"",IF(A95&lt;&gt;"",A95,IF(AND(livegame!$T$20,livegame!$U$20&lt;&gt;"",B95="",B94&lt;&gt;""),livegame!$U$20,"")))</f>
        <v/>
      </c>
      <c r="B95" t="str">
        <f>IF(livegame!$V$21,"",IF(livegame!$T$20,B95,A95))</f>
        <v/>
      </c>
    </row>
    <row r="96" spans="1:2">
      <c r="A96" t="str">
        <f>IF(livegame!$V$21,"",IF(A96&lt;&gt;"",A96,IF(AND(livegame!$T$20,livegame!$U$20&lt;&gt;"",B96="",B95&lt;&gt;""),livegame!$U$20,"")))</f>
        <v/>
      </c>
      <c r="B96" t="str">
        <f>IF(livegame!$V$21,"",IF(livegame!$T$20,B96,A96))</f>
        <v/>
      </c>
    </row>
    <row r="97" spans="1:2">
      <c r="A97" t="str">
        <f>IF(livegame!$V$21,"",IF(A97&lt;&gt;"",A97,IF(AND(livegame!$T$20,livegame!$U$20&lt;&gt;"",B97="",B96&lt;&gt;""),livegame!$U$20,"")))</f>
        <v/>
      </c>
      <c r="B97" t="str">
        <f>IF(livegame!$V$21,"",IF(livegame!$T$20,B97,A97))</f>
        <v/>
      </c>
    </row>
    <row r="98" spans="1:2">
      <c r="A98" t="str">
        <f>IF(livegame!$V$21,"",IF(A98&lt;&gt;"",A98,IF(AND(livegame!$T$20,livegame!$U$20&lt;&gt;"",B98="",B97&lt;&gt;""),livegame!$U$20,"")))</f>
        <v/>
      </c>
      <c r="B98" t="str">
        <f>IF(livegame!$V$21,"",IF(livegame!$T$20,B98,A98))</f>
        <v/>
      </c>
    </row>
    <row r="99" spans="1:2">
      <c r="A99" t="str">
        <f>IF(livegame!$V$21,"",IF(A99&lt;&gt;"",A99,IF(AND(livegame!$T$20,livegame!$U$20&lt;&gt;"",B99="",B98&lt;&gt;""),livegame!$U$20,"")))</f>
        <v/>
      </c>
      <c r="B99" t="str">
        <f>IF(livegame!$V$21,"",IF(livegame!$T$20,B99,A99))</f>
        <v/>
      </c>
    </row>
    <row r="100" spans="1:2">
      <c r="A100" t="str">
        <f>IF(livegame!$V$21,"",IF(A100&lt;&gt;"",A100,IF(AND(livegame!$T$20,livegame!$U$20&lt;&gt;"",B100="",B99&lt;&gt;""),livegame!$U$20,"")))</f>
        <v/>
      </c>
      <c r="B100" t="str">
        <f>IF(livegame!$V$21,"",IF(livegame!$T$20,B100,A100))</f>
        <v/>
      </c>
    </row>
    <row r="101" spans="1:2">
      <c r="A101" t="str">
        <f>IF(livegame!$V$21,"",IF(A101&lt;&gt;"",A101,IF(AND(livegame!$T$20,livegame!$U$20&lt;&gt;"",B101="",B100&lt;&gt;""),livegame!$U$20,"")))</f>
        <v/>
      </c>
      <c r="B101" t="str">
        <f>IF(livegame!$V$21,"",IF(livegame!$T$20,B101,A101))</f>
        <v/>
      </c>
    </row>
    <row r="102" spans="1:2">
      <c r="A102" t="str">
        <f>IF(livegame!$V$21,"",IF(A102&lt;&gt;"",A102,IF(AND(livegame!$T$20,livegame!$U$20&lt;&gt;"",B102="",B101&lt;&gt;""),livegame!$U$20,"")))</f>
        <v/>
      </c>
      <c r="B102" t="str">
        <f>IF(livegame!$V$21,"",IF(livegame!$T$20,B102,A102))</f>
        <v/>
      </c>
    </row>
    <row r="103" spans="1:2">
      <c r="A103" t="str">
        <f>IF(livegame!$V$21,"",IF(A103&lt;&gt;"",A103,IF(AND(livegame!$T$20,livegame!$U$20&lt;&gt;"",B103="",B102&lt;&gt;""),livegame!$U$20,"")))</f>
        <v/>
      </c>
      <c r="B103" t="str">
        <f>IF(livegame!$V$21,"",IF(livegame!$T$20,B103,A103))</f>
        <v/>
      </c>
    </row>
    <row r="104" spans="1:2">
      <c r="A104" t="str">
        <f>IF(livegame!$V$21,"",IF(A104&lt;&gt;"",A104,IF(AND(livegame!$T$20,livegame!$U$20&lt;&gt;"",B104="",B103&lt;&gt;""),livegame!$U$20,"")))</f>
        <v/>
      </c>
      <c r="B104" t="str">
        <f>IF(livegame!$V$21,"",IF(livegame!$T$20,B104,A104))</f>
        <v/>
      </c>
    </row>
    <row r="105" spans="1:2">
      <c r="A105" t="str">
        <f>IF(livegame!$V$21,"",IF(A105&lt;&gt;"",A105,IF(AND(livegame!$T$20,livegame!$U$20&lt;&gt;"",B105="",B104&lt;&gt;""),livegame!$U$20,"")))</f>
        <v/>
      </c>
      <c r="B105" t="str">
        <f>IF(livegame!$V$21,"",IF(livegame!$T$20,B105,A105))</f>
        <v/>
      </c>
    </row>
    <row r="106" spans="1:2">
      <c r="A106" t="str">
        <f>IF(livegame!$V$21,"",IF(A106&lt;&gt;"",A106,IF(AND(livegame!$T$20,livegame!$U$20&lt;&gt;"",B106="",B105&lt;&gt;""),livegame!$U$20,"")))</f>
        <v/>
      </c>
      <c r="B106" t="str">
        <f>IF(livegame!$V$21,"",IF(livegame!$T$20,B106,A106))</f>
        <v/>
      </c>
    </row>
    <row r="107" spans="1:2">
      <c r="A107" t="str">
        <f>IF(livegame!$V$21,"",IF(A107&lt;&gt;"",A107,IF(AND(livegame!$T$20,livegame!$U$20&lt;&gt;"",B107="",B106&lt;&gt;""),livegame!$U$20,"")))</f>
        <v/>
      </c>
      <c r="B107" t="str">
        <f>IF(livegame!$V$21,"",IF(livegame!$T$20,B107,A107))</f>
        <v/>
      </c>
    </row>
    <row r="108" spans="1:2">
      <c r="A108" t="str">
        <f>IF(livegame!$V$21,"",IF(A108&lt;&gt;"",A108,IF(AND(livegame!$T$20,livegame!$U$20&lt;&gt;"",B108="",B107&lt;&gt;""),livegame!$U$20,"")))</f>
        <v/>
      </c>
      <c r="B108" t="str">
        <f>IF(livegame!$V$21,"",IF(livegame!$T$20,B108,A108))</f>
        <v/>
      </c>
    </row>
    <row r="109" spans="1:2">
      <c r="A109" t="str">
        <f>IF(livegame!$V$21,"",IF(A109&lt;&gt;"",A109,IF(AND(livegame!$T$20,livegame!$U$20&lt;&gt;"",B109="",B108&lt;&gt;""),livegame!$U$20,"")))</f>
        <v/>
      </c>
      <c r="B109" t="str">
        <f>IF(livegame!$V$21,"",IF(livegame!$T$20,B109,A109))</f>
        <v/>
      </c>
    </row>
    <row r="110" spans="1:2">
      <c r="A110" t="str">
        <f>IF(livegame!$V$21,"",IF(A110&lt;&gt;"",A110,IF(AND(livegame!$T$20,livegame!$U$20&lt;&gt;"",B110="",B109&lt;&gt;""),livegame!$U$20,"")))</f>
        <v/>
      </c>
      <c r="B110" t="str">
        <f>IF(livegame!$V$21,"",IF(livegame!$T$20,B110,A110))</f>
        <v/>
      </c>
    </row>
    <row r="111" spans="1:2">
      <c r="A111" t="str">
        <f>IF(livegame!$V$21,"",IF(A111&lt;&gt;"",A111,IF(AND(livegame!$T$20,livegame!$U$20&lt;&gt;"",B111="",B110&lt;&gt;""),livegame!$U$20,"")))</f>
        <v/>
      </c>
      <c r="B111" t="str">
        <f>IF(livegame!$V$21,"",IF(livegame!$T$20,B111,A111))</f>
        <v/>
      </c>
    </row>
    <row r="112" spans="1:2">
      <c r="A112" t="str">
        <f>IF(livegame!$V$21,"",IF(A112&lt;&gt;"",A112,IF(AND(livegame!$T$20,livegame!$U$20&lt;&gt;"",B112="",B111&lt;&gt;""),livegame!$U$20,"")))</f>
        <v/>
      </c>
      <c r="B112" t="str">
        <f>IF(livegame!$V$21,"",IF(livegame!$T$20,B112,A112))</f>
        <v/>
      </c>
    </row>
    <row r="113" spans="1:2">
      <c r="A113" t="str">
        <f>IF(livegame!$V$21,"",IF(A113&lt;&gt;"",A113,IF(AND(livegame!$T$20,livegame!$U$20&lt;&gt;"",B113="",B112&lt;&gt;""),livegame!$U$20,"")))</f>
        <v/>
      </c>
      <c r="B113" t="str">
        <f>IF(livegame!$V$21,"",IF(livegame!$T$20,B113,A113))</f>
        <v/>
      </c>
    </row>
    <row r="114" spans="1:2">
      <c r="A114" t="str">
        <f>IF(livegame!$V$21,"",IF(A114&lt;&gt;"",A114,IF(AND(livegame!$T$20,livegame!$U$20&lt;&gt;"",B114="",B113&lt;&gt;""),livegame!$U$20,"")))</f>
        <v/>
      </c>
      <c r="B114" t="str">
        <f>IF(livegame!$V$21,"",IF(livegame!$T$20,B114,A114))</f>
        <v/>
      </c>
    </row>
    <row r="115" spans="1:2">
      <c r="A115" t="str">
        <f>IF(livegame!$V$21,"",IF(A115&lt;&gt;"",A115,IF(AND(livegame!$T$20,livegame!$U$20&lt;&gt;"",B115="",B114&lt;&gt;""),livegame!$U$20,"")))</f>
        <v/>
      </c>
      <c r="B115" t="str">
        <f>IF(livegame!$V$21,"",IF(livegame!$T$20,B115,A115))</f>
        <v/>
      </c>
    </row>
    <row r="116" spans="1:2">
      <c r="A116" t="str">
        <f>IF(livegame!$V$21,"",IF(A116&lt;&gt;"",A116,IF(AND(livegame!$T$20,livegame!$U$20&lt;&gt;"",B116="",B115&lt;&gt;""),livegame!$U$20,"")))</f>
        <v/>
      </c>
      <c r="B116" t="str">
        <f>IF(livegame!$V$21,"",IF(livegame!$T$20,B116,A116))</f>
        <v/>
      </c>
    </row>
    <row r="117" spans="1:2">
      <c r="A117" t="str">
        <f>IF(livegame!$V$21,"",IF(A117&lt;&gt;"",A117,IF(AND(livegame!$T$20,livegame!$U$20&lt;&gt;"",B117="",B116&lt;&gt;""),livegame!$U$20,"")))</f>
        <v/>
      </c>
      <c r="B117" t="str">
        <f>IF(livegame!$V$21,"",IF(livegame!$T$20,B117,A117))</f>
        <v/>
      </c>
    </row>
    <row r="118" spans="1:2">
      <c r="A118" t="str">
        <f>IF(livegame!$V$21,"",IF(A118&lt;&gt;"",A118,IF(AND(livegame!$T$20,livegame!$U$20&lt;&gt;"",B118="",B117&lt;&gt;""),livegame!$U$20,"")))</f>
        <v/>
      </c>
      <c r="B118" t="str">
        <f>IF(livegame!$V$21,"",IF(livegame!$T$20,B118,A118))</f>
        <v/>
      </c>
    </row>
    <row r="119" spans="1:2">
      <c r="A119" t="str">
        <f>IF(livegame!$V$21,"",IF(A119&lt;&gt;"",A119,IF(AND(livegame!$T$20,livegame!$U$20&lt;&gt;"",B119="",B118&lt;&gt;""),livegame!$U$20,"")))</f>
        <v/>
      </c>
      <c r="B119" t="str">
        <f>IF(livegame!$V$21,"",IF(livegame!$T$20,B119,A119))</f>
        <v/>
      </c>
    </row>
    <row r="120" spans="1:2">
      <c r="A120" t="str">
        <f>IF(livegame!$V$21,"",IF(A120&lt;&gt;"",A120,IF(AND(livegame!$T$20,livegame!$U$20&lt;&gt;"",B120="",B119&lt;&gt;""),livegame!$U$20,"")))</f>
        <v/>
      </c>
      <c r="B120" t="str">
        <f>IF(livegame!$V$21,"",IF(livegame!$T$20,B120,A120))</f>
        <v/>
      </c>
    </row>
    <row r="121" spans="1:2">
      <c r="A121" t="str">
        <f>IF(livegame!$V$21,"",IF(A121&lt;&gt;"",A121,IF(AND(livegame!$T$20,livegame!$U$20&lt;&gt;"",B121="",B120&lt;&gt;""),livegame!$U$20,"")))</f>
        <v/>
      </c>
      <c r="B121" t="str">
        <f>IF(livegame!$V$21,"",IF(livegame!$T$20,B121,A121))</f>
        <v/>
      </c>
    </row>
    <row r="122" spans="1:2">
      <c r="A122" t="str">
        <f>IF(livegame!$V$21,"",IF(A122&lt;&gt;"",A122,IF(AND(livegame!$T$20,livegame!$U$20&lt;&gt;"",B122="",B121&lt;&gt;""),livegame!$U$20,"")))</f>
        <v/>
      </c>
      <c r="B122" t="str">
        <f>IF(livegame!$V$21,"",IF(livegame!$T$20,B122,A122))</f>
        <v/>
      </c>
    </row>
    <row r="123" spans="1:2">
      <c r="A123" t="str">
        <f>IF(livegame!$V$21,"",IF(A123&lt;&gt;"",A123,IF(AND(livegame!$T$20,livegame!$U$20&lt;&gt;"",B123="",B122&lt;&gt;""),livegame!$U$20,"")))</f>
        <v/>
      </c>
      <c r="B123" t="str">
        <f>IF(livegame!$V$21,"",IF(livegame!$T$20,B123,A123))</f>
        <v/>
      </c>
    </row>
    <row r="124" spans="1:2">
      <c r="A124" t="str">
        <f>IF(livegame!$V$21,"",IF(A124&lt;&gt;"",A124,IF(AND(livegame!$T$20,livegame!$U$20&lt;&gt;"",B124="",B123&lt;&gt;""),livegame!$U$20,"")))</f>
        <v/>
      </c>
      <c r="B124" t="str">
        <f>IF(livegame!$V$21,"",IF(livegame!$T$20,B124,A124))</f>
        <v/>
      </c>
    </row>
    <row r="125" spans="1:2">
      <c r="A125" t="str">
        <f>IF(livegame!$V$21,"",IF(A125&lt;&gt;"",A125,IF(AND(livegame!$T$20,livegame!$U$20&lt;&gt;"",B125="",B124&lt;&gt;""),livegame!$U$20,"")))</f>
        <v/>
      </c>
      <c r="B125" t="str">
        <f>IF(livegame!$V$21,"",IF(livegame!$T$20,B125,A125))</f>
        <v/>
      </c>
    </row>
    <row r="126" spans="1:2">
      <c r="A126" t="str">
        <f>IF(livegame!$V$21,"",IF(A126&lt;&gt;"",A126,IF(AND(livegame!$T$20,livegame!$U$20&lt;&gt;"",B126="",B125&lt;&gt;""),livegame!$U$20,"")))</f>
        <v/>
      </c>
      <c r="B126" t="str">
        <f>IF(livegame!$V$21,"",IF(livegame!$T$20,B126,A126))</f>
        <v/>
      </c>
    </row>
    <row r="127" spans="1:2">
      <c r="A127" t="str">
        <f>IF(livegame!$V$21,"",IF(A127&lt;&gt;"",A127,IF(AND(livegame!$T$20,livegame!$U$20&lt;&gt;"",B127="",B126&lt;&gt;""),livegame!$U$20,"")))</f>
        <v/>
      </c>
      <c r="B127" t="str">
        <f>IF(livegame!$V$21,"",IF(livegame!$T$20,B127,A127))</f>
        <v/>
      </c>
    </row>
    <row r="128" spans="1:2">
      <c r="A128" t="str">
        <f>IF(livegame!$V$21,"",IF(A128&lt;&gt;"",A128,IF(AND(livegame!$T$20,livegame!$U$20&lt;&gt;"",B128="",B127&lt;&gt;""),livegame!$U$20,"")))</f>
        <v/>
      </c>
      <c r="B128" t="str">
        <f>IF(livegame!$V$21,"",IF(livegame!$T$20,B128,A128))</f>
        <v/>
      </c>
    </row>
    <row r="129" spans="1:2">
      <c r="A129" t="str">
        <f>IF(livegame!$V$21,"",IF(A129&lt;&gt;"",A129,IF(AND(livegame!$T$20,livegame!$U$20&lt;&gt;"",B129="",B128&lt;&gt;""),livegame!$U$20,"")))</f>
        <v/>
      </c>
      <c r="B129" t="str">
        <f>IF(livegame!$V$21,"",IF(livegame!$T$20,B129,A129))</f>
        <v/>
      </c>
    </row>
    <row r="130" spans="1:2">
      <c r="A130" t="str">
        <f>IF(livegame!$V$21,"",IF(A130&lt;&gt;"",A130,IF(AND(livegame!$T$20,livegame!$U$20&lt;&gt;"",B130="",B129&lt;&gt;""),livegame!$U$20,"")))</f>
        <v/>
      </c>
      <c r="B130" t="str">
        <f>IF(livegame!$V$21,"",IF(livegame!$T$20,B130,A130))</f>
        <v/>
      </c>
    </row>
    <row r="131" spans="1:2">
      <c r="A131" t="str">
        <f>IF(livegame!$V$21,"",IF(A131&lt;&gt;"",A131,IF(AND(livegame!$T$20,livegame!$U$20&lt;&gt;"",B131="",B130&lt;&gt;""),livegame!$U$20,"")))</f>
        <v/>
      </c>
      <c r="B131" t="str">
        <f>IF(livegame!$V$21,"",IF(livegame!$T$20,B131,A131))</f>
        <v/>
      </c>
    </row>
    <row r="132" spans="1:2">
      <c r="A132" t="str">
        <f>IF(livegame!$V$21,"",IF(A132&lt;&gt;"",A132,IF(AND(livegame!$T$20,livegame!$U$20&lt;&gt;"",B132="",B131&lt;&gt;""),livegame!$U$20,"")))</f>
        <v/>
      </c>
      <c r="B132" t="str">
        <f>IF(livegame!$V$21,"",IF(livegame!$T$20,B132,A132))</f>
        <v/>
      </c>
    </row>
    <row r="133" spans="1:2">
      <c r="A133" t="str">
        <f>IF(livegame!$V$21,"",IF(A133&lt;&gt;"",A133,IF(AND(livegame!$T$20,livegame!$U$20&lt;&gt;"",B133="",B132&lt;&gt;""),livegame!$U$20,"")))</f>
        <v/>
      </c>
      <c r="B133" t="str">
        <f>IF(livegame!$V$21,"",IF(livegame!$T$20,B133,A133))</f>
        <v/>
      </c>
    </row>
    <row r="134" spans="1:2">
      <c r="A134" t="str">
        <f>IF(livegame!$V$21,"",IF(A134&lt;&gt;"",A134,IF(AND(livegame!$T$20,livegame!$U$20&lt;&gt;"",B134="",B133&lt;&gt;""),livegame!$U$20,"")))</f>
        <v/>
      </c>
      <c r="B134" t="str">
        <f>IF(livegame!$V$21,"",IF(livegame!$T$20,B134,A134))</f>
        <v/>
      </c>
    </row>
    <row r="135" spans="1:2">
      <c r="A135" t="str">
        <f>IF(livegame!$V$21,"",IF(A135&lt;&gt;"",A135,IF(AND(livegame!$T$20,livegame!$U$20&lt;&gt;"",B135="",B134&lt;&gt;""),livegame!$U$20,"")))</f>
        <v/>
      </c>
      <c r="B135" t="str">
        <f>IF(livegame!$V$21,"",IF(livegame!$T$20,B135,A135))</f>
        <v/>
      </c>
    </row>
    <row r="136" spans="1:2">
      <c r="A136" t="str">
        <f>IF(livegame!$V$21,"",IF(A136&lt;&gt;"",A136,IF(AND(livegame!$T$20,livegame!$U$20&lt;&gt;"",B136="",B135&lt;&gt;""),livegame!$U$20,"")))</f>
        <v/>
      </c>
      <c r="B136" t="str">
        <f>IF(livegame!$V$21,"",IF(livegame!$T$20,B136,A136))</f>
        <v/>
      </c>
    </row>
    <row r="137" spans="1:2">
      <c r="A137" t="str">
        <f>IF(livegame!$V$21,"",IF(A137&lt;&gt;"",A137,IF(AND(livegame!$T$20,livegame!$U$20&lt;&gt;"",B137="",B136&lt;&gt;""),livegame!$U$20,"")))</f>
        <v/>
      </c>
      <c r="B137" t="str">
        <f>IF(livegame!$V$21,"",IF(livegame!$T$20,B137,A137))</f>
        <v/>
      </c>
    </row>
    <row r="138" spans="1:2">
      <c r="A138" t="str">
        <f>IF(livegame!$V$21,"",IF(A138&lt;&gt;"",A138,IF(AND(livegame!$T$20,livegame!$U$20&lt;&gt;"",B138="",B137&lt;&gt;""),livegame!$U$20,"")))</f>
        <v/>
      </c>
      <c r="B138" t="str">
        <f>IF(livegame!$V$21,"",IF(livegame!$T$20,B138,A138))</f>
        <v/>
      </c>
    </row>
    <row r="139" spans="1:2">
      <c r="A139" t="str">
        <f>IF(livegame!$V$21,"",IF(A139&lt;&gt;"",A139,IF(AND(livegame!$T$20,livegame!$U$20&lt;&gt;"",B139="",B138&lt;&gt;""),livegame!$U$20,"")))</f>
        <v/>
      </c>
      <c r="B139" t="str">
        <f>IF(livegame!$V$21,"",IF(livegame!$T$20,B139,A139))</f>
        <v/>
      </c>
    </row>
    <row r="140" spans="1:2">
      <c r="A140" t="str">
        <f>IF(livegame!$V$21,"",IF(A140&lt;&gt;"",A140,IF(AND(livegame!$T$20,livegame!$U$20&lt;&gt;"",B140="",B139&lt;&gt;""),livegame!$U$20,"")))</f>
        <v/>
      </c>
      <c r="B140" t="str">
        <f>IF(livegame!$V$21,"",IF(livegame!$T$20,B140,A140))</f>
        <v/>
      </c>
    </row>
    <row r="141" spans="1:2">
      <c r="A141" t="str">
        <f>IF(livegame!$V$21,"",IF(A141&lt;&gt;"",A141,IF(AND(livegame!$T$20,livegame!$U$20&lt;&gt;"",B141="",B140&lt;&gt;""),livegame!$U$20,"")))</f>
        <v/>
      </c>
      <c r="B141" t="str">
        <f>IF(livegame!$V$21,"",IF(livegame!$T$20,B141,A141))</f>
        <v/>
      </c>
    </row>
    <row r="142" spans="1:2">
      <c r="A142" t="str">
        <f>IF(livegame!$V$21,"",IF(A142&lt;&gt;"",A142,IF(AND(livegame!$T$20,livegame!$U$20&lt;&gt;"",B142="",B141&lt;&gt;""),livegame!$U$20,"")))</f>
        <v/>
      </c>
      <c r="B142" t="str">
        <f>IF(livegame!$V$21,"",IF(livegame!$T$20,B142,A142))</f>
        <v/>
      </c>
    </row>
    <row r="143" spans="1:2">
      <c r="A143" t="str">
        <f>IF(livegame!$V$21,"",IF(A143&lt;&gt;"",A143,IF(AND(livegame!$T$20,livegame!$U$20&lt;&gt;"",B143="",B142&lt;&gt;""),livegame!$U$20,"")))</f>
        <v/>
      </c>
      <c r="B143" t="str">
        <f>IF(livegame!$V$21,"",IF(livegame!$T$20,B143,A143))</f>
        <v/>
      </c>
    </row>
    <row r="144" spans="1:2">
      <c r="A144" t="str">
        <f>IF(livegame!$V$21,"",IF(A144&lt;&gt;"",A144,IF(AND(livegame!$T$20,livegame!$U$20&lt;&gt;"",B144="",B143&lt;&gt;""),livegame!$U$20,"")))</f>
        <v/>
      </c>
      <c r="B144" t="str">
        <f>IF(livegame!$V$21,"",IF(livegame!$T$20,B144,A144))</f>
        <v/>
      </c>
    </row>
    <row r="145" spans="1:2">
      <c r="A145" t="str">
        <f>IF(livegame!$V$21,"",IF(A145&lt;&gt;"",A145,IF(AND(livegame!$T$20,livegame!$U$20&lt;&gt;"",B145="",B144&lt;&gt;""),livegame!$U$20,"")))</f>
        <v/>
      </c>
      <c r="B145" t="str">
        <f>IF(livegame!$V$21,"",IF(livegame!$T$20,B145,A145))</f>
        <v/>
      </c>
    </row>
    <row r="146" spans="1:2">
      <c r="A146" t="str">
        <f>IF(livegame!$V$21,"",IF(A146&lt;&gt;"",A146,IF(AND(livegame!$T$20,livegame!$U$20&lt;&gt;"",B146="",B145&lt;&gt;""),livegame!$U$20,"")))</f>
        <v/>
      </c>
      <c r="B146" t="str">
        <f>IF(livegame!$V$21,"",IF(livegame!$T$20,B146,A146))</f>
        <v/>
      </c>
    </row>
    <row r="147" spans="1:2">
      <c r="A147" t="str">
        <f>IF(livegame!$V$21,"",IF(A147&lt;&gt;"",A147,IF(AND(livegame!$T$20,livegame!$U$20&lt;&gt;"",B147="",B146&lt;&gt;""),livegame!$U$20,"")))</f>
        <v/>
      </c>
      <c r="B147" t="str">
        <f>IF(livegame!$V$21,"",IF(livegame!$T$20,B147,A147))</f>
        <v/>
      </c>
    </row>
    <row r="148" spans="1:2">
      <c r="A148" t="str">
        <f>IF(livegame!$V$21,"",IF(A148&lt;&gt;"",A148,IF(AND(livegame!$T$20,livegame!$U$20&lt;&gt;"",B148="",B147&lt;&gt;""),livegame!$U$20,"")))</f>
        <v/>
      </c>
      <c r="B148" t="str">
        <f>IF(livegame!$V$21,"",IF(livegame!$T$20,B148,A148))</f>
        <v/>
      </c>
    </row>
    <row r="149" spans="1:2">
      <c r="A149" t="str">
        <f>IF(livegame!$V$21,"",IF(A149&lt;&gt;"",A149,IF(AND(livegame!$T$20,livegame!$U$20&lt;&gt;"",B149="",B148&lt;&gt;""),livegame!$U$20,"")))</f>
        <v/>
      </c>
      <c r="B149" t="str">
        <f>IF(livegame!$V$21,"",IF(livegame!$T$20,B149,A149))</f>
        <v/>
      </c>
    </row>
    <row r="150" spans="1:2">
      <c r="A150" t="str">
        <f>IF(livegame!$V$21,"",IF(A150&lt;&gt;"",A150,IF(AND(livegame!$T$20,livegame!$U$20&lt;&gt;"",B150="",B149&lt;&gt;""),livegame!$U$20,"")))</f>
        <v/>
      </c>
      <c r="B150" t="str">
        <f>IF(livegame!$V$21,"",IF(livegame!$T$20,B150,A150))</f>
        <v/>
      </c>
    </row>
    <row r="151" spans="1:2">
      <c r="A151" t="str">
        <f>IF(livegame!$V$21,"",IF(A151&lt;&gt;"",A151,IF(AND(livegame!$T$20,livegame!$U$20&lt;&gt;"",B151="",B150&lt;&gt;""),livegame!$U$20,"")))</f>
        <v/>
      </c>
      <c r="B151" t="str">
        <f>IF(livegame!$V$21,"",IF(livegame!$T$20,B151,A151))</f>
        <v/>
      </c>
    </row>
    <row r="152" spans="1:2">
      <c r="A152" t="str">
        <f>IF(livegame!$V$21,"",IF(A152&lt;&gt;"",A152,IF(AND(livegame!$T$20,livegame!$U$20&lt;&gt;"",B152="",B151&lt;&gt;""),livegame!$U$20,"")))</f>
        <v/>
      </c>
      <c r="B152" t="str">
        <f>IF(livegame!$V$21,"",IF(livegame!$T$20,B152,A152))</f>
        <v/>
      </c>
    </row>
    <row r="153" spans="1:2">
      <c r="A153" t="str">
        <f>IF(livegame!$V$21,"",IF(A153&lt;&gt;"",A153,IF(AND(livegame!$T$20,livegame!$U$20&lt;&gt;"",B153="",B152&lt;&gt;""),livegame!$U$20,"")))</f>
        <v/>
      </c>
      <c r="B153" t="str">
        <f>IF(livegame!$V$21,"",IF(livegame!$T$20,B153,A153))</f>
        <v/>
      </c>
    </row>
    <row r="154" spans="1:2">
      <c r="A154" t="str">
        <f>IF(livegame!$V$21,"",IF(A154&lt;&gt;"",A154,IF(AND(livegame!$T$20,livegame!$U$20&lt;&gt;"",B154="",B153&lt;&gt;""),livegame!$U$20,"")))</f>
        <v/>
      </c>
      <c r="B154" t="str">
        <f>IF(livegame!$V$21,"",IF(livegame!$T$20,B154,A154))</f>
        <v/>
      </c>
    </row>
    <row r="155" spans="1:2">
      <c r="A155" t="str">
        <f>IF(livegame!$V$21,"",IF(A155&lt;&gt;"",A155,IF(AND(livegame!$T$20,livegame!$U$20&lt;&gt;"",B155="",B154&lt;&gt;""),livegame!$U$20,"")))</f>
        <v/>
      </c>
      <c r="B155" t="str">
        <f>IF(livegame!$V$21,"",IF(livegame!$T$20,B155,A155))</f>
        <v/>
      </c>
    </row>
    <row r="156" spans="1:2">
      <c r="A156" t="str">
        <f>IF(livegame!$V$21,"",IF(A156&lt;&gt;"",A156,IF(AND(livegame!$T$20,livegame!$U$20&lt;&gt;"",B156="",B155&lt;&gt;""),livegame!$U$20,"")))</f>
        <v/>
      </c>
      <c r="B156" t="str">
        <f>IF(livegame!$V$21,"",IF(livegame!$T$20,B156,A156))</f>
        <v/>
      </c>
    </row>
    <row r="157" spans="1:2">
      <c r="A157" t="str">
        <f>IF(livegame!$V$21,"",IF(A157&lt;&gt;"",A157,IF(AND(livegame!$T$20,livegame!$U$20&lt;&gt;"",B157="",B156&lt;&gt;""),livegame!$U$20,"")))</f>
        <v/>
      </c>
      <c r="B157" t="str">
        <f>IF(livegame!$V$21,"",IF(livegame!$T$20,B157,A157))</f>
        <v/>
      </c>
    </row>
    <row r="158" spans="1:2">
      <c r="A158" t="str">
        <f>IF(livegame!$V$21,"",IF(A158&lt;&gt;"",A158,IF(AND(livegame!$T$20,livegame!$U$20&lt;&gt;"",B158="",B157&lt;&gt;""),livegame!$U$20,"")))</f>
        <v/>
      </c>
      <c r="B158" t="str">
        <f>IF(livegame!$V$21,"",IF(livegame!$T$20,B158,A158))</f>
        <v/>
      </c>
    </row>
    <row r="159" spans="1:2">
      <c r="A159" t="str">
        <f>IF(livegame!$V$21,"",IF(A159&lt;&gt;"",A159,IF(AND(livegame!$T$20,livegame!$U$20&lt;&gt;"",B159="",B158&lt;&gt;""),livegame!$U$20,"")))</f>
        <v/>
      </c>
      <c r="B159" t="str">
        <f>IF(livegame!$V$21,"",IF(livegame!$T$20,B159,A159))</f>
        <v/>
      </c>
    </row>
    <row r="160" spans="1:2">
      <c r="A160" t="str">
        <f>IF(livegame!$V$21,"",IF(A160&lt;&gt;"",A160,IF(AND(livegame!$T$20,livegame!$U$20&lt;&gt;"",B160="",B159&lt;&gt;""),livegame!$U$20,"")))</f>
        <v/>
      </c>
      <c r="B160" t="str">
        <f>IF(livegame!$V$21,"",IF(livegame!$T$20,B160,A160))</f>
        <v/>
      </c>
    </row>
    <row r="161" spans="1:2">
      <c r="A161" t="str">
        <f>IF(livegame!$V$21,"",IF(A161&lt;&gt;"",A161,IF(AND(livegame!$T$20,livegame!$U$20&lt;&gt;"",B161="",B160&lt;&gt;""),livegame!$U$20,"")))</f>
        <v/>
      </c>
      <c r="B161" t="str">
        <f>IF(livegame!$V$21,"",IF(livegame!$T$20,B161,A161))</f>
        <v/>
      </c>
    </row>
    <row r="162" spans="1:2">
      <c r="A162" t="str">
        <f>IF(livegame!$V$21,"",IF(A162&lt;&gt;"",A162,IF(AND(livegame!$T$20,livegame!$U$20&lt;&gt;"",B162="",B161&lt;&gt;""),livegame!$U$20,"")))</f>
        <v/>
      </c>
      <c r="B162" t="str">
        <f>IF(livegame!$V$21,"",IF(livegame!$T$20,B162,A162))</f>
        <v/>
      </c>
    </row>
    <row r="163" spans="1:2">
      <c r="A163" t="str">
        <f>IF(livegame!$V$21,"",IF(A163&lt;&gt;"",A163,IF(AND(livegame!$T$20,livegame!$U$20&lt;&gt;"",B163="",B162&lt;&gt;""),livegame!$U$20,"")))</f>
        <v/>
      </c>
      <c r="B163" t="str">
        <f>IF(livegame!$V$21,"",IF(livegame!$T$20,B163,A163))</f>
        <v/>
      </c>
    </row>
    <row r="164" spans="1:2">
      <c r="A164" t="str">
        <f>IF(livegame!$V$21,"",IF(A164&lt;&gt;"",A164,IF(AND(livegame!$T$20,livegame!$U$20&lt;&gt;"",B164="",B163&lt;&gt;""),livegame!$U$20,"")))</f>
        <v/>
      </c>
      <c r="B164" t="str">
        <f>IF(livegame!$V$21,"",IF(livegame!$T$20,B164,A164))</f>
        <v/>
      </c>
    </row>
    <row r="165" spans="1:2">
      <c r="A165" t="str">
        <f>IF(livegame!$V$21,"",IF(A165&lt;&gt;"",A165,IF(AND(livegame!$T$20,livegame!$U$20&lt;&gt;"",B165="",B164&lt;&gt;""),livegame!$U$20,"")))</f>
        <v/>
      </c>
      <c r="B165" t="str">
        <f>IF(livegame!$V$21,"",IF(livegame!$T$20,B165,A165))</f>
        <v/>
      </c>
    </row>
    <row r="166" spans="1:2">
      <c r="A166" t="str">
        <f>IF(livegame!$V$21,"",IF(A166&lt;&gt;"",A166,IF(AND(livegame!$T$20,livegame!$U$20&lt;&gt;"",B166="",B165&lt;&gt;""),livegame!$U$20,"")))</f>
        <v/>
      </c>
      <c r="B166" t="str">
        <f>IF(livegame!$V$21,"",IF(livegame!$T$20,B166,A166))</f>
        <v/>
      </c>
    </row>
    <row r="167" spans="1:2">
      <c r="A167" t="str">
        <f>IF(livegame!$V$21,"",IF(A167&lt;&gt;"",A167,IF(AND(livegame!$T$20,livegame!$U$20&lt;&gt;"",B167="",B166&lt;&gt;""),livegame!$U$20,"")))</f>
        <v/>
      </c>
      <c r="B167" t="str">
        <f>IF(livegame!$V$21,"",IF(livegame!$T$20,B167,A167))</f>
        <v/>
      </c>
    </row>
    <row r="168" spans="1:2">
      <c r="A168" t="str">
        <f>IF(livegame!$V$21,"",IF(A168&lt;&gt;"",A168,IF(AND(livegame!$T$20,livegame!$U$20&lt;&gt;"",B168="",B167&lt;&gt;""),livegame!$U$20,"")))</f>
        <v/>
      </c>
      <c r="B168" t="str">
        <f>IF(livegame!$V$21,"",IF(livegame!$T$20,B168,A168))</f>
        <v/>
      </c>
    </row>
    <row r="169" spans="1:2">
      <c r="A169" t="str">
        <f>IF(livegame!$V$21,"",IF(A169&lt;&gt;"",A169,IF(AND(livegame!$T$20,livegame!$U$20&lt;&gt;"",B169="",B168&lt;&gt;""),livegame!$U$20,"")))</f>
        <v/>
      </c>
      <c r="B169" t="str">
        <f>IF(livegame!$V$21,"",IF(livegame!$T$20,B169,A169))</f>
        <v/>
      </c>
    </row>
    <row r="170" spans="1:2">
      <c r="A170" t="str">
        <f>IF(livegame!$V$21,"",IF(A170&lt;&gt;"",A170,IF(AND(livegame!$T$20,livegame!$U$20&lt;&gt;"",B170="",B169&lt;&gt;""),livegame!$U$20,"")))</f>
        <v/>
      </c>
      <c r="B170" t="str">
        <f>IF(livegame!$V$21,"",IF(livegame!$T$20,B170,A170))</f>
        <v/>
      </c>
    </row>
    <row r="171" spans="1:2">
      <c r="A171" t="str">
        <f>IF(livegame!$V$21,"",IF(A171&lt;&gt;"",A171,IF(AND(livegame!$T$20,livegame!$U$20&lt;&gt;"",B171="",B170&lt;&gt;""),livegame!$U$20,"")))</f>
        <v/>
      </c>
      <c r="B171" t="str">
        <f>IF(livegame!$V$21,"",IF(livegame!$T$20,B171,A171))</f>
        <v/>
      </c>
    </row>
    <row r="172" spans="1:2">
      <c r="A172" t="str">
        <f>IF(livegame!$V$21,"",IF(A172&lt;&gt;"",A172,IF(AND(livegame!$T$20,livegame!$U$20&lt;&gt;"",B172="",B171&lt;&gt;""),livegame!$U$20,"")))</f>
        <v/>
      </c>
      <c r="B172" t="str">
        <f>IF(livegame!$V$21,"",IF(livegame!$T$20,B172,A172))</f>
        <v/>
      </c>
    </row>
    <row r="173" spans="1:2">
      <c r="A173" t="str">
        <f>IF(livegame!$V$21,"",IF(A173&lt;&gt;"",A173,IF(AND(livegame!$T$20,livegame!$U$20&lt;&gt;"",B173="",B172&lt;&gt;""),livegame!$U$20,"")))</f>
        <v/>
      </c>
      <c r="B173" t="str">
        <f>IF(livegame!$V$21,"",IF(livegame!$T$20,B173,A173))</f>
        <v/>
      </c>
    </row>
    <row r="174" spans="1:2">
      <c r="A174" t="str">
        <f>IF(livegame!$V$21,"",IF(A174&lt;&gt;"",A174,IF(AND(livegame!$T$20,livegame!$U$20&lt;&gt;"",B174="",B173&lt;&gt;""),livegame!$U$20,"")))</f>
        <v/>
      </c>
      <c r="B174" t="str">
        <f>IF(livegame!$V$21,"",IF(livegame!$T$20,B174,A174))</f>
        <v/>
      </c>
    </row>
    <row r="175" spans="1:2">
      <c r="A175" t="str">
        <f>IF(livegame!$V$21,"",IF(A175&lt;&gt;"",A175,IF(AND(livegame!$T$20,livegame!$U$20&lt;&gt;"",B175="",B174&lt;&gt;""),livegame!$U$20,"")))</f>
        <v/>
      </c>
      <c r="B175" t="str">
        <f>IF(livegame!$V$21,"",IF(livegame!$T$20,B175,A175))</f>
        <v/>
      </c>
    </row>
    <row r="176" spans="1:2">
      <c r="A176" t="str">
        <f>IF(livegame!$V$21,"",IF(A176&lt;&gt;"",A176,IF(AND(livegame!$T$20,livegame!$U$20&lt;&gt;"",B176="",B175&lt;&gt;""),livegame!$U$20,"")))</f>
        <v/>
      </c>
      <c r="B176" t="str">
        <f>IF(livegame!$V$21,"",IF(livegame!$T$20,B176,A176))</f>
        <v/>
      </c>
    </row>
    <row r="177" spans="1:2">
      <c r="A177" t="str">
        <f>IF(livegame!$V$21,"",IF(A177&lt;&gt;"",A177,IF(AND(livegame!$T$20,livegame!$U$20&lt;&gt;"",B177="",B176&lt;&gt;""),livegame!$U$20,"")))</f>
        <v/>
      </c>
      <c r="B177" t="str">
        <f>IF(livegame!$V$21,"",IF(livegame!$T$20,B177,A177))</f>
        <v/>
      </c>
    </row>
    <row r="178" spans="1:2">
      <c r="A178" t="str">
        <f>IF(livegame!$V$21,"",IF(A178&lt;&gt;"",A178,IF(AND(livegame!$T$20,livegame!$U$20&lt;&gt;"",B178="",B177&lt;&gt;""),livegame!$U$20,"")))</f>
        <v/>
      </c>
      <c r="B178" t="str">
        <f>IF(livegame!$V$21,"",IF(livegame!$T$20,B178,A178))</f>
        <v/>
      </c>
    </row>
    <row r="179" spans="1:2">
      <c r="A179" t="str">
        <f>IF(livegame!$V$21,"",IF(A179&lt;&gt;"",A179,IF(AND(livegame!$T$20,livegame!$U$20&lt;&gt;"",B179="",B178&lt;&gt;""),livegame!$U$20,"")))</f>
        <v/>
      </c>
      <c r="B179" t="str">
        <f>IF(livegame!$V$21,"",IF(livegame!$T$20,B179,A179))</f>
        <v/>
      </c>
    </row>
    <row r="180" spans="1:2">
      <c r="A180" t="str">
        <f>IF(livegame!$V$21,"",IF(A180&lt;&gt;"",A180,IF(AND(livegame!$T$20,livegame!$U$20&lt;&gt;"",B180="",B179&lt;&gt;""),livegame!$U$20,"")))</f>
        <v/>
      </c>
      <c r="B180" t="str">
        <f>IF(livegame!$V$21,"",IF(livegame!$T$20,B180,A180))</f>
        <v/>
      </c>
    </row>
    <row r="181" spans="1:2">
      <c r="A181" t="str">
        <f>IF(livegame!$V$21,"",IF(A181&lt;&gt;"",A181,IF(AND(livegame!$T$20,livegame!$U$20&lt;&gt;"",B181="",B180&lt;&gt;""),livegame!$U$20,"")))</f>
        <v/>
      </c>
      <c r="B181" t="str">
        <f>IF(livegame!$V$21,"",IF(livegame!$T$20,B181,A181))</f>
        <v/>
      </c>
    </row>
    <row r="182" spans="1:2">
      <c r="A182" t="str">
        <f>IF(livegame!$V$21,"",IF(A182&lt;&gt;"",A182,IF(AND(livegame!$T$20,livegame!$U$20&lt;&gt;"",B182="",B181&lt;&gt;""),livegame!$U$20,"")))</f>
        <v/>
      </c>
      <c r="B182" t="str">
        <f>IF(livegame!$V$21,"",IF(livegame!$T$20,B182,A182))</f>
        <v/>
      </c>
    </row>
    <row r="183" spans="1:2">
      <c r="A183" t="str">
        <f>IF(livegame!$V$21,"",IF(A183&lt;&gt;"",A183,IF(AND(livegame!$T$20,livegame!$U$20&lt;&gt;"",B183="",B182&lt;&gt;""),livegame!$U$20,"")))</f>
        <v/>
      </c>
      <c r="B183" t="str">
        <f>IF(livegame!$V$21,"",IF(livegame!$T$20,B183,A183))</f>
        <v/>
      </c>
    </row>
    <row r="184" spans="1:2">
      <c r="A184" t="str">
        <f>IF(livegame!$V$21,"",IF(A184&lt;&gt;"",A184,IF(AND(livegame!$T$20,livegame!$U$20&lt;&gt;"",B184="",B183&lt;&gt;""),livegame!$U$20,"")))</f>
        <v/>
      </c>
      <c r="B184" t="str">
        <f>IF(livegame!$V$21,"",IF(livegame!$T$20,B184,A184))</f>
        <v/>
      </c>
    </row>
    <row r="185" spans="1:2">
      <c r="A185" t="str">
        <f>IF(livegame!$V$21,"",IF(A185&lt;&gt;"",A185,IF(AND(livegame!$T$20,livegame!$U$20&lt;&gt;"",B185="",B184&lt;&gt;""),livegame!$U$20,"")))</f>
        <v/>
      </c>
      <c r="B185" t="str">
        <f>IF(livegame!$V$21,"",IF(livegame!$T$20,B185,A185))</f>
        <v/>
      </c>
    </row>
    <row r="186" spans="1:2">
      <c r="A186" t="str">
        <f>IF(livegame!$V$21,"",IF(A186&lt;&gt;"",A186,IF(AND(livegame!$T$20,livegame!$U$20&lt;&gt;"",B186="",B185&lt;&gt;""),livegame!$U$20,"")))</f>
        <v/>
      </c>
      <c r="B186" t="str">
        <f>IF(livegame!$V$21,"",IF(livegame!$T$20,B186,A186))</f>
        <v/>
      </c>
    </row>
    <row r="187" spans="1:2">
      <c r="A187" t="str">
        <f>IF(livegame!$V$21,"",IF(A187&lt;&gt;"",A187,IF(AND(livegame!$T$20,livegame!$U$20&lt;&gt;"",B187="",B186&lt;&gt;""),livegame!$U$20,"")))</f>
        <v/>
      </c>
      <c r="B187" t="str">
        <f>IF(livegame!$V$21,"",IF(livegame!$T$20,B187,A187))</f>
        <v/>
      </c>
    </row>
    <row r="188" spans="1:2">
      <c r="A188" t="str">
        <f>IF(livegame!$V$21,"",IF(A188&lt;&gt;"",A188,IF(AND(livegame!$T$20,livegame!$U$20&lt;&gt;"",B188="",B187&lt;&gt;""),livegame!$U$20,"")))</f>
        <v/>
      </c>
      <c r="B188" t="str">
        <f>IF(livegame!$V$21,"",IF(livegame!$T$20,B188,A188))</f>
        <v/>
      </c>
    </row>
    <row r="189" spans="1:2">
      <c r="A189" t="str">
        <f>IF(livegame!$V$21,"",IF(A189&lt;&gt;"",A189,IF(AND(livegame!$T$20,livegame!$U$20&lt;&gt;"",B189="",B188&lt;&gt;""),livegame!$U$20,"")))</f>
        <v/>
      </c>
      <c r="B189" t="str">
        <f>IF(livegame!$V$21,"",IF(livegame!$T$20,B189,A189))</f>
        <v/>
      </c>
    </row>
    <row r="190" spans="1:2">
      <c r="A190" t="str">
        <f>IF(livegame!$V$21,"",IF(A190&lt;&gt;"",A190,IF(AND(livegame!$T$20,livegame!$U$20&lt;&gt;"",B190="",B189&lt;&gt;""),livegame!$U$20,"")))</f>
        <v/>
      </c>
      <c r="B190" t="str">
        <f>IF(livegame!$V$21,"",IF(livegame!$T$20,B190,A190))</f>
        <v/>
      </c>
    </row>
    <row r="191" spans="1:2">
      <c r="A191" t="str">
        <f>IF(livegame!$V$21,"",IF(A191&lt;&gt;"",A191,IF(AND(livegame!$T$20,livegame!$U$20&lt;&gt;"",B191="",B190&lt;&gt;""),livegame!$U$20,"")))</f>
        <v/>
      </c>
      <c r="B191" t="str">
        <f>IF(livegame!$V$21,"",IF(livegame!$T$20,B191,A191))</f>
        <v/>
      </c>
    </row>
    <row r="192" spans="1:2">
      <c r="A192" t="str">
        <f>IF(livegame!$V$21,"",IF(A192&lt;&gt;"",A192,IF(AND(livegame!$T$20,livegame!$U$20&lt;&gt;"",B192="",B191&lt;&gt;""),livegame!$U$20,"")))</f>
        <v/>
      </c>
      <c r="B192" t="str">
        <f>IF(livegame!$V$21,"",IF(livegame!$T$20,B192,A192))</f>
        <v/>
      </c>
    </row>
    <row r="193" spans="1:2">
      <c r="A193" t="str">
        <f>IF(livegame!$V$21,"",IF(A193&lt;&gt;"",A193,IF(AND(livegame!$T$20,livegame!$U$20&lt;&gt;"",B193="",B192&lt;&gt;""),livegame!$U$20,"")))</f>
        <v/>
      </c>
      <c r="B193" t="str">
        <f>IF(livegame!$V$21,"",IF(livegame!$T$20,B193,A193))</f>
        <v/>
      </c>
    </row>
    <row r="194" spans="1:2">
      <c r="A194" t="str">
        <f>IF(livegame!$V$21,"",IF(A194&lt;&gt;"",A194,IF(AND(livegame!$T$20,livegame!$U$20&lt;&gt;"",B194="",B193&lt;&gt;""),livegame!$U$20,"")))</f>
        <v/>
      </c>
      <c r="B194" t="str">
        <f>IF(livegame!$V$21,"",IF(livegame!$T$20,B194,A194))</f>
        <v/>
      </c>
    </row>
    <row r="195" spans="1:2">
      <c r="A195" t="str">
        <f>IF(livegame!$V$21,"",IF(A195&lt;&gt;"",A195,IF(AND(livegame!$T$20,livegame!$U$20&lt;&gt;"",B195="",B194&lt;&gt;""),livegame!$U$20,"")))</f>
        <v/>
      </c>
      <c r="B195" t="str">
        <f>IF(livegame!$V$21,"",IF(livegame!$T$20,B195,A195))</f>
        <v/>
      </c>
    </row>
    <row r="196" spans="1:2">
      <c r="A196" t="str">
        <f>IF(livegame!$V$21,"",IF(A196&lt;&gt;"",A196,IF(AND(livegame!$T$20,livegame!$U$20&lt;&gt;"",B196="",B195&lt;&gt;""),livegame!$U$20,"")))</f>
        <v/>
      </c>
      <c r="B196" t="str">
        <f>IF(livegame!$V$21,"",IF(livegame!$T$20,B196,A196))</f>
        <v/>
      </c>
    </row>
    <row r="197" spans="1:2">
      <c r="A197" t="str">
        <f>IF(livegame!$V$21,"",IF(A197&lt;&gt;"",A197,IF(AND(livegame!$T$20,livegame!$U$20&lt;&gt;"",B197="",B196&lt;&gt;""),livegame!$U$20,"")))</f>
        <v/>
      </c>
      <c r="B197" t="str">
        <f>IF(livegame!$V$21,"",IF(livegame!$T$20,B197,A197))</f>
        <v/>
      </c>
    </row>
    <row r="198" spans="1:2">
      <c r="A198" t="str">
        <f>IF(livegame!$V$21,"",IF(A198&lt;&gt;"",A198,IF(AND(livegame!$T$20,livegame!$U$20&lt;&gt;"",B198="",B197&lt;&gt;""),livegame!$U$20,"")))</f>
        <v/>
      </c>
      <c r="B198" t="str">
        <f>IF(livegame!$V$21,"",IF(livegame!$T$20,B198,A198))</f>
        <v/>
      </c>
    </row>
    <row r="199" spans="1:2">
      <c r="A199" t="str">
        <f>IF(livegame!$V$21,"",IF(A199&lt;&gt;"",A199,IF(AND(livegame!$T$20,livegame!$U$20&lt;&gt;"",B199="",B198&lt;&gt;""),livegame!$U$20,"")))</f>
        <v/>
      </c>
      <c r="B199" t="str">
        <f>IF(livegame!$V$21,"",IF(livegame!$T$20,B199,A199))</f>
        <v/>
      </c>
    </row>
    <row r="200" spans="1:2">
      <c r="A200" t="str">
        <f>IF(livegame!$V$21,"",IF(A200&lt;&gt;"",A200,IF(AND(livegame!$T$20,livegame!$U$20&lt;&gt;"",B200="",B199&lt;&gt;""),livegame!$U$20,"")))</f>
        <v/>
      </c>
      <c r="B200" t="str">
        <f>IF(livegame!$V$21,"",IF(livegame!$T$20,B200,A200))</f>
        <v/>
      </c>
    </row>
    <row r="201" spans="1:2">
      <c r="A201" t="str">
        <f>IF(livegame!$V$21,"",IF(A201&lt;&gt;"",A201,IF(AND(livegame!$T$20,livegame!$U$20&lt;&gt;"",B201="",B200&lt;&gt;""),livegame!$U$20,"")))</f>
        <v/>
      </c>
      <c r="B201" t="str">
        <f>IF(livegame!$V$21,"",IF(livegame!$T$20,B201,A201))</f>
        <v/>
      </c>
    </row>
    <row r="202" spans="1:2">
      <c r="A202" t="str">
        <f>IF(livegame!$V$21,"",IF(A202&lt;&gt;"",A202,IF(AND(livegame!$T$20,livegame!$U$20&lt;&gt;"",B202="",B201&lt;&gt;""),livegame!$U$20,"")))</f>
        <v/>
      </c>
      <c r="B202" t="str">
        <f>IF(livegame!$V$21,"",IF(livegame!$T$20,B202,A202))</f>
        <v/>
      </c>
    </row>
    <row r="203" spans="1:2">
      <c r="A203" t="str">
        <f>IF(livegame!$V$21,"",IF(A203&lt;&gt;"",A203,IF(AND(livegame!$T$20,livegame!$U$20&lt;&gt;"",B203="",B202&lt;&gt;""),livegame!$U$20,"")))</f>
        <v/>
      </c>
      <c r="B203" t="str">
        <f>IF(livegame!$V$21,"",IF(livegame!$T$20,B203,A203))</f>
        <v/>
      </c>
    </row>
    <row r="204" spans="1:2">
      <c r="A204" t="str">
        <f>IF(livegame!$V$21,"",IF(A204&lt;&gt;"",A204,IF(AND(livegame!$T$20,livegame!$U$20&lt;&gt;"",B204="",B203&lt;&gt;""),livegame!$U$20,"")))</f>
        <v/>
      </c>
      <c r="B204" t="str">
        <f>IF(livegame!$V$21,"",IF(livegame!$T$20,B204,A204))</f>
        <v/>
      </c>
    </row>
    <row r="205" spans="1:2">
      <c r="A205" t="str">
        <f>IF(livegame!$V$21,"",IF(A205&lt;&gt;"",A205,IF(AND(livegame!$T$20,livegame!$U$20&lt;&gt;"",B205="",B204&lt;&gt;""),livegame!$U$20,"")))</f>
        <v/>
      </c>
      <c r="B205" t="str">
        <f>IF(livegame!$V$21,"",IF(livegame!$T$20,B205,A205))</f>
        <v/>
      </c>
    </row>
    <row r="206" spans="1:2">
      <c r="A206" t="str">
        <f>IF(livegame!$V$21,"",IF(A206&lt;&gt;"",A206,IF(AND(livegame!$T$20,livegame!$U$20&lt;&gt;"",B206="",B205&lt;&gt;""),livegame!$U$20,"")))</f>
        <v/>
      </c>
      <c r="B206" t="str">
        <f>IF(livegame!$V$21,"",IF(livegame!$T$20,B206,A206))</f>
        <v/>
      </c>
    </row>
    <row r="207" spans="1:2">
      <c r="A207" t="str">
        <f>IF(livegame!$V$21,"",IF(A207&lt;&gt;"",A207,IF(AND(livegame!$T$20,livegame!$U$20&lt;&gt;"",B207="",B206&lt;&gt;""),livegame!$U$20,"")))</f>
        <v/>
      </c>
      <c r="B207" t="str">
        <f>IF(livegame!$V$21,"",IF(livegame!$T$20,B207,A207))</f>
        <v/>
      </c>
    </row>
    <row r="208" spans="1:2">
      <c r="A208" t="str">
        <f>IF(livegame!$V$21,"",IF(A208&lt;&gt;"",A208,IF(AND(livegame!$T$20,livegame!$U$20&lt;&gt;"",B208="",B207&lt;&gt;""),livegame!$U$20,"")))</f>
        <v/>
      </c>
      <c r="B208" t="str">
        <f>IF(livegame!$V$21,"",IF(livegame!$T$20,B208,A208))</f>
        <v/>
      </c>
    </row>
    <row r="209" spans="1:2">
      <c r="A209" t="str">
        <f>IF(livegame!$V$21,"",IF(A209&lt;&gt;"",A209,IF(AND(livegame!$T$20,livegame!$U$20&lt;&gt;"",B209="",B208&lt;&gt;""),livegame!$U$20,"")))</f>
        <v/>
      </c>
      <c r="B209" t="str">
        <f>IF(livegame!$V$21,"",IF(livegame!$T$20,B209,A209))</f>
        <v/>
      </c>
    </row>
    <row r="210" spans="1:2">
      <c r="A210" t="str">
        <f>IF(livegame!$V$21,"",IF(A210&lt;&gt;"",A210,IF(AND(livegame!$T$20,livegame!$U$20&lt;&gt;"",B210="",B209&lt;&gt;""),livegame!$U$20,"")))</f>
        <v/>
      </c>
      <c r="B210" t="str">
        <f>IF(livegame!$V$21,"",IF(livegame!$T$20,B210,A210))</f>
        <v/>
      </c>
    </row>
    <row r="211" spans="1:2">
      <c r="A211" t="str">
        <f>IF(livegame!$V$21,"",IF(A211&lt;&gt;"",A211,IF(AND(livegame!$T$20,livegame!$U$20&lt;&gt;"",B211="",B210&lt;&gt;""),livegame!$U$20,"")))</f>
        <v/>
      </c>
      <c r="B211" t="str">
        <f>IF(livegame!$V$21,"",IF(livegame!$T$20,B211,A211))</f>
        <v/>
      </c>
    </row>
    <row r="212" spans="1:2">
      <c r="A212" t="str">
        <f>IF(livegame!$V$21,"",IF(A212&lt;&gt;"",A212,IF(AND(livegame!$T$20,livegame!$U$20&lt;&gt;"",B212="",B211&lt;&gt;""),livegame!$U$20,"")))</f>
        <v/>
      </c>
      <c r="B212" t="str">
        <f>IF(livegame!$V$21,"",IF(livegame!$T$20,B212,A212))</f>
        <v/>
      </c>
    </row>
    <row r="213" spans="1:2">
      <c r="A213" t="str">
        <f>IF(livegame!$V$21,"",IF(A213&lt;&gt;"",A213,IF(AND(livegame!$T$20,livegame!$U$20&lt;&gt;"",B213="",B212&lt;&gt;""),livegame!$U$20,"")))</f>
        <v/>
      </c>
      <c r="B213" t="str">
        <f>IF(livegame!$V$21,"",IF(livegame!$T$20,B213,A213))</f>
        <v/>
      </c>
    </row>
    <row r="214" spans="1:2">
      <c r="A214" t="str">
        <f>IF(livegame!$V$21,"",IF(A214&lt;&gt;"",A214,IF(AND(livegame!$T$20,livegame!$U$20&lt;&gt;"",B214="",B213&lt;&gt;""),livegame!$U$20,"")))</f>
        <v/>
      </c>
      <c r="B214" t="str">
        <f>IF(livegame!$V$21,"",IF(livegame!$T$20,B214,A214))</f>
        <v/>
      </c>
    </row>
    <row r="215" spans="1:2">
      <c r="A215" t="str">
        <f>IF(livegame!$V$21,"",IF(A215&lt;&gt;"",A215,IF(AND(livegame!$T$20,livegame!$U$20&lt;&gt;"",B215="",B214&lt;&gt;""),livegame!$U$20,"")))</f>
        <v/>
      </c>
      <c r="B215" t="str">
        <f>IF(livegame!$V$21,"",IF(livegame!$T$20,B215,A215))</f>
        <v/>
      </c>
    </row>
    <row r="216" spans="1:2">
      <c r="A216" t="str">
        <f>IF(livegame!$V$21,"",IF(A216&lt;&gt;"",A216,IF(AND(livegame!$T$20,livegame!$U$20&lt;&gt;"",B216="",B215&lt;&gt;""),livegame!$U$20,"")))</f>
        <v/>
      </c>
      <c r="B216" t="str">
        <f>IF(livegame!$V$21,"",IF(livegame!$T$20,B216,A216))</f>
        <v/>
      </c>
    </row>
    <row r="217" spans="1:2">
      <c r="A217" t="str">
        <f>IF(livegame!$V$21,"",IF(A217&lt;&gt;"",A217,IF(AND(livegame!$T$20,livegame!$U$20&lt;&gt;"",B217="",B216&lt;&gt;""),livegame!$U$20,"")))</f>
        <v/>
      </c>
      <c r="B217" t="str">
        <f>IF(livegame!$V$21,"",IF(livegame!$T$20,B217,A217))</f>
        <v/>
      </c>
    </row>
    <row r="218" spans="1:2">
      <c r="A218" t="str">
        <f>IF(livegame!$V$21,"",IF(A218&lt;&gt;"",A218,IF(AND(livegame!$T$20,livegame!$U$20&lt;&gt;"",B218="",B217&lt;&gt;""),livegame!$U$20,"")))</f>
        <v/>
      </c>
      <c r="B218" t="str">
        <f>IF(livegame!$V$21,"",IF(livegame!$T$20,B218,A218))</f>
        <v/>
      </c>
    </row>
    <row r="219" spans="1:2">
      <c r="A219" t="str">
        <f>IF(livegame!$V$21,"",IF(A219&lt;&gt;"",A219,IF(AND(livegame!$T$20,livegame!$U$20&lt;&gt;"",B219="",B218&lt;&gt;""),livegame!$U$20,"")))</f>
        <v/>
      </c>
      <c r="B219" t="str">
        <f>IF(livegame!$V$21,"",IF(livegame!$T$20,B219,A219))</f>
        <v/>
      </c>
    </row>
    <row r="220" spans="1:2">
      <c r="A220" t="str">
        <f>IF(livegame!$V$21,"",IF(A220&lt;&gt;"",A220,IF(AND(livegame!$T$20,livegame!$U$20&lt;&gt;"",B220="",B219&lt;&gt;""),livegame!$U$20,"")))</f>
        <v/>
      </c>
      <c r="B220" t="str">
        <f>IF(livegame!$V$21,"",IF(livegame!$T$20,B220,A220))</f>
        <v/>
      </c>
    </row>
    <row r="221" spans="1:2">
      <c r="A221" t="str">
        <f>IF(livegame!$V$21,"",IF(A221&lt;&gt;"",A221,IF(AND(livegame!$T$20,livegame!$U$20&lt;&gt;"",B221="",B220&lt;&gt;""),livegame!$U$20,"")))</f>
        <v/>
      </c>
      <c r="B221" t="str">
        <f>IF(livegame!$V$21,"",IF(livegame!$T$20,B221,A221))</f>
        <v/>
      </c>
    </row>
    <row r="222" spans="1:2">
      <c r="A222" t="str">
        <f>IF(livegame!$V$21,"",IF(A222&lt;&gt;"",A222,IF(AND(livegame!$T$20,livegame!$U$20&lt;&gt;"",B222="",B221&lt;&gt;""),livegame!$U$20,"")))</f>
        <v/>
      </c>
      <c r="B222" t="str">
        <f>IF(livegame!$V$21,"",IF(livegame!$T$20,B222,A222))</f>
        <v/>
      </c>
    </row>
    <row r="223" spans="1:2">
      <c r="A223" t="str">
        <f>IF(livegame!$V$21,"",IF(A223&lt;&gt;"",A223,IF(AND(livegame!$T$20,livegame!$U$20&lt;&gt;"",B223="",B222&lt;&gt;""),livegame!$U$20,"")))</f>
        <v/>
      </c>
      <c r="B223" t="str">
        <f>IF(livegame!$V$21,"",IF(livegame!$T$20,B223,A223))</f>
        <v/>
      </c>
    </row>
    <row r="224" spans="1:2">
      <c r="A224" t="str">
        <f>IF(livegame!$V$21,"",IF(A224&lt;&gt;"",A224,IF(AND(livegame!$T$20,livegame!$U$20&lt;&gt;"",B224="",B223&lt;&gt;""),livegame!$U$20,"")))</f>
        <v/>
      </c>
      <c r="B224" t="str">
        <f>IF(livegame!$V$21,"",IF(livegame!$T$20,B224,A224))</f>
        <v/>
      </c>
    </row>
    <row r="225" spans="1:2">
      <c r="A225" t="str">
        <f>IF(livegame!$V$21,"",IF(A225&lt;&gt;"",A225,IF(AND(livegame!$T$20,livegame!$U$20&lt;&gt;"",B225="",B224&lt;&gt;""),livegame!$U$20,"")))</f>
        <v/>
      </c>
      <c r="B225" t="str">
        <f>IF(livegame!$V$21,"",IF(livegame!$T$20,B225,A225))</f>
        <v/>
      </c>
    </row>
    <row r="226" spans="1:2">
      <c r="A226" t="str">
        <f>IF(livegame!$V$21,"",IF(A226&lt;&gt;"",A226,IF(AND(livegame!$T$20,livegame!$U$20&lt;&gt;"",B226="",B225&lt;&gt;""),livegame!$U$20,"")))</f>
        <v/>
      </c>
      <c r="B226" t="str">
        <f>IF(livegame!$V$21,"",IF(livegame!$T$20,B226,A226))</f>
        <v/>
      </c>
    </row>
    <row r="227" spans="1:2">
      <c r="A227" t="str">
        <f>IF(livegame!$V$21,"",IF(A227&lt;&gt;"",A227,IF(AND(livegame!$T$20,livegame!$U$20&lt;&gt;"",B227="",B226&lt;&gt;""),livegame!$U$20,"")))</f>
        <v/>
      </c>
      <c r="B227" t="str">
        <f>IF(livegame!$V$21,"",IF(livegame!$T$20,B227,A227))</f>
        <v/>
      </c>
    </row>
    <row r="228" spans="1:2">
      <c r="A228" t="str">
        <f>IF(livegame!$V$21,"",IF(A228&lt;&gt;"",A228,IF(AND(livegame!$T$20,livegame!$U$20&lt;&gt;"",B228="",B227&lt;&gt;""),livegame!$U$20,"")))</f>
        <v/>
      </c>
      <c r="B228" t="str">
        <f>IF(livegame!$V$21,"",IF(livegame!$T$20,B228,A228))</f>
        <v/>
      </c>
    </row>
    <row r="229" spans="1:2">
      <c r="A229" t="str">
        <f>IF(livegame!$V$21,"",IF(A229&lt;&gt;"",A229,IF(AND(livegame!$T$20,livegame!$U$20&lt;&gt;"",B229="",B228&lt;&gt;""),livegame!$U$20,"")))</f>
        <v/>
      </c>
      <c r="B229" t="str">
        <f>IF(livegame!$V$21,"",IF(livegame!$T$20,B229,A229))</f>
        <v/>
      </c>
    </row>
    <row r="230" spans="1:2">
      <c r="A230" t="str">
        <f>IF(livegame!$V$21,"",IF(A230&lt;&gt;"",A230,IF(AND(livegame!$T$20,livegame!$U$20&lt;&gt;"",B230="",B229&lt;&gt;""),livegame!$U$20,"")))</f>
        <v/>
      </c>
      <c r="B230" t="str">
        <f>IF(livegame!$V$21,"",IF(livegame!$T$20,B230,A230))</f>
        <v/>
      </c>
    </row>
    <row r="231" spans="1:2">
      <c r="A231" t="str">
        <f>IF(livegame!$V$21,"",IF(A231&lt;&gt;"",A231,IF(AND(livegame!$T$20,livegame!$U$20&lt;&gt;"",B231="",B230&lt;&gt;""),livegame!$U$20,"")))</f>
        <v/>
      </c>
      <c r="B231" t="str">
        <f>IF(livegame!$V$21,"",IF(livegame!$T$20,B231,A231))</f>
        <v/>
      </c>
    </row>
    <row r="232" spans="1:2">
      <c r="A232" t="str">
        <f>IF(livegame!$V$21,"",IF(A232&lt;&gt;"",A232,IF(AND(livegame!$T$20,livegame!$U$20&lt;&gt;"",B232="",B231&lt;&gt;""),livegame!$U$20,"")))</f>
        <v/>
      </c>
      <c r="B232" t="str">
        <f>IF(livegame!$V$21,"",IF(livegame!$T$20,B232,A232))</f>
        <v/>
      </c>
    </row>
    <row r="233" spans="1:2">
      <c r="A233" t="str">
        <f>IF(livegame!$V$21,"",IF(A233&lt;&gt;"",A233,IF(AND(livegame!$T$20,livegame!$U$20&lt;&gt;"",B233="",B232&lt;&gt;""),livegame!$U$20,"")))</f>
        <v/>
      </c>
      <c r="B233" t="str">
        <f>IF(livegame!$V$21,"",IF(livegame!$T$20,B233,A233))</f>
        <v/>
      </c>
    </row>
    <row r="234" spans="1:2">
      <c r="A234" t="str">
        <f>IF(livegame!$V$21,"",IF(A234&lt;&gt;"",A234,IF(AND(livegame!$T$20,livegame!$U$20&lt;&gt;"",B234="",B233&lt;&gt;""),livegame!$U$20,"")))</f>
        <v/>
      </c>
      <c r="B234" t="str">
        <f>IF(livegame!$V$21,"",IF(livegame!$T$20,B234,A234))</f>
        <v/>
      </c>
    </row>
    <row r="235" spans="1:2">
      <c r="A235" t="str">
        <f>IF(livegame!$V$21,"",IF(A235&lt;&gt;"",A235,IF(AND(livegame!$T$20,livegame!$U$20&lt;&gt;"",B235="",B234&lt;&gt;""),livegame!$U$20,"")))</f>
        <v/>
      </c>
      <c r="B235" t="str">
        <f>IF(livegame!$V$21,"",IF(livegame!$T$20,B235,A235))</f>
        <v/>
      </c>
    </row>
    <row r="236" spans="1:2">
      <c r="A236" t="str">
        <f>IF(livegame!$V$21,"",IF(A236&lt;&gt;"",A236,IF(AND(livegame!$T$20,livegame!$U$20&lt;&gt;"",B236="",B235&lt;&gt;""),livegame!$U$20,"")))</f>
        <v/>
      </c>
      <c r="B236" t="str">
        <f>IF(livegame!$V$21,"",IF(livegame!$T$20,B236,A236))</f>
        <v/>
      </c>
    </row>
    <row r="237" spans="1:2">
      <c r="A237" t="str">
        <f>IF(livegame!$V$21,"",IF(A237&lt;&gt;"",A237,IF(AND(livegame!$T$20,livegame!$U$20&lt;&gt;"",B237="",B236&lt;&gt;""),livegame!$U$20,"")))</f>
        <v/>
      </c>
      <c r="B237" t="str">
        <f>IF(livegame!$V$21,"",IF(livegame!$T$20,B237,A237))</f>
        <v/>
      </c>
    </row>
    <row r="238" spans="1:2">
      <c r="A238" t="str">
        <f>IF(livegame!$V$21,"",IF(A238&lt;&gt;"",A238,IF(AND(livegame!$T$20,livegame!$U$20&lt;&gt;"",B238="",B237&lt;&gt;""),livegame!$U$20,"")))</f>
        <v/>
      </c>
      <c r="B238" t="str">
        <f>IF(livegame!$V$21,"",IF(livegame!$T$20,B238,A238))</f>
        <v/>
      </c>
    </row>
    <row r="239" spans="1:2">
      <c r="A239" t="str">
        <f>IF(livegame!$V$21,"",IF(A239&lt;&gt;"",A239,IF(AND(livegame!$T$20,livegame!$U$20&lt;&gt;"",B239="",B238&lt;&gt;""),livegame!$U$20,"")))</f>
        <v/>
      </c>
      <c r="B239" t="str">
        <f>IF(livegame!$V$21,"",IF(livegame!$T$20,B239,A239))</f>
        <v/>
      </c>
    </row>
    <row r="240" spans="1:2">
      <c r="A240" t="str">
        <f>IF(livegame!$V$21,"",IF(A240&lt;&gt;"",A240,IF(AND(livegame!$T$20,livegame!$U$20&lt;&gt;"",B240="",B239&lt;&gt;""),livegame!$U$20,"")))</f>
        <v/>
      </c>
      <c r="B240" t="str">
        <f>IF(livegame!$V$21,"",IF(livegame!$T$20,B240,A240))</f>
        <v/>
      </c>
    </row>
    <row r="241" spans="1:2">
      <c r="A241" t="str">
        <f>IF(livegame!$V$21,"",IF(A241&lt;&gt;"",A241,IF(AND(livegame!$T$20,livegame!$U$20&lt;&gt;"",B241="",B240&lt;&gt;""),livegame!$U$20,"")))</f>
        <v/>
      </c>
      <c r="B241" t="str">
        <f>IF(livegame!$V$21,"",IF(livegame!$T$20,B241,A241))</f>
        <v/>
      </c>
    </row>
    <row r="242" spans="1:2">
      <c r="A242" t="str">
        <f>IF(livegame!$V$21,"",IF(A242&lt;&gt;"",A242,IF(AND(livegame!$T$20,livegame!$U$20&lt;&gt;"",B242="",B241&lt;&gt;""),livegame!$U$20,"")))</f>
        <v/>
      </c>
      <c r="B242" t="str">
        <f>IF(livegame!$V$21,"",IF(livegame!$T$20,B242,A242))</f>
        <v/>
      </c>
    </row>
    <row r="243" spans="1:2">
      <c r="A243" t="str">
        <f>IF(livegame!$V$21,"",IF(A243&lt;&gt;"",A243,IF(AND(livegame!$T$20,livegame!$U$20&lt;&gt;"",B243="",B242&lt;&gt;""),livegame!$U$20,"")))</f>
        <v/>
      </c>
      <c r="B243" t="str">
        <f>IF(livegame!$V$21,"",IF(livegame!$T$20,B243,A243))</f>
        <v/>
      </c>
    </row>
    <row r="244" spans="1:2">
      <c r="A244" t="str">
        <f>IF(livegame!$V$21,"",IF(A244&lt;&gt;"",A244,IF(AND(livegame!$T$20,livegame!$U$20&lt;&gt;"",B244="",B243&lt;&gt;""),livegame!$U$20,"")))</f>
        <v/>
      </c>
      <c r="B244" t="str">
        <f>IF(livegame!$V$21,"",IF(livegame!$T$20,B244,A244))</f>
        <v/>
      </c>
    </row>
    <row r="245" spans="1:2">
      <c r="A245" t="str">
        <f>IF(livegame!$V$21,"",IF(A245&lt;&gt;"",A245,IF(AND(livegame!$T$20,livegame!$U$20&lt;&gt;"",B245="",B244&lt;&gt;""),livegame!$U$20,"")))</f>
        <v/>
      </c>
      <c r="B245" t="str">
        <f>IF(livegame!$V$21,"",IF(livegame!$T$20,B245,A245))</f>
        <v/>
      </c>
    </row>
    <row r="246" spans="1:2">
      <c r="A246" t="str">
        <f>IF(livegame!$V$21,"",IF(A246&lt;&gt;"",A246,IF(AND(livegame!$T$20,livegame!$U$20&lt;&gt;"",B246="",B245&lt;&gt;""),livegame!$U$20,"")))</f>
        <v/>
      </c>
      <c r="B246" t="str">
        <f>IF(livegame!$V$21,"",IF(livegame!$T$20,B246,A246))</f>
        <v/>
      </c>
    </row>
    <row r="247" spans="1:2">
      <c r="A247" t="str">
        <f>IF(livegame!$V$21,"",IF(A247&lt;&gt;"",A247,IF(AND(livegame!$T$20,livegame!$U$20&lt;&gt;"",B247="",B246&lt;&gt;""),livegame!$U$20,"")))</f>
        <v/>
      </c>
      <c r="B247" t="str">
        <f>IF(livegame!$V$21,"",IF(livegame!$T$20,B247,A247))</f>
        <v/>
      </c>
    </row>
    <row r="248" spans="1:2">
      <c r="A248" t="str">
        <f>IF(livegame!$V$21,"",IF(A248&lt;&gt;"",A248,IF(AND(livegame!$T$20,livegame!$U$20&lt;&gt;"",B248="",B247&lt;&gt;""),livegame!$U$20,"")))</f>
        <v/>
      </c>
      <c r="B248" t="str">
        <f>IF(livegame!$V$21,"",IF(livegame!$T$20,B248,A248))</f>
        <v/>
      </c>
    </row>
    <row r="249" spans="1:2">
      <c r="A249" t="str">
        <f>IF(livegame!$V$21,"",IF(A249&lt;&gt;"",A249,IF(AND(livegame!$T$20,livegame!$U$20&lt;&gt;"",B249="",B248&lt;&gt;""),livegame!$U$20,"")))</f>
        <v/>
      </c>
      <c r="B249" t="str">
        <f>IF(livegame!$V$21,"",IF(livegame!$T$20,B249,A249))</f>
        <v/>
      </c>
    </row>
    <row r="250" spans="1:2">
      <c r="A250" t="str">
        <f>IF(livegame!$V$21,"",IF(A250&lt;&gt;"",A250,IF(AND(livegame!$T$20,livegame!$U$20&lt;&gt;"",B250="",B249&lt;&gt;""),livegame!$U$20,"")))</f>
        <v/>
      </c>
      <c r="B250" t="str">
        <f>IF(livegame!$V$21,"",IF(livegame!$T$20,B250,A250))</f>
        <v/>
      </c>
    </row>
    <row r="251" spans="1:2">
      <c r="A251" t="str">
        <f>IF(livegame!$V$21,"",IF(A251&lt;&gt;"",A251,IF(AND(livegame!$T$20,livegame!$U$20&lt;&gt;"",B251="",B250&lt;&gt;""),livegame!$U$20,"")))</f>
        <v/>
      </c>
      <c r="B251" t="str">
        <f>IF(livegame!$V$21,"",IF(livegame!$T$20,B251,A251))</f>
        <v/>
      </c>
    </row>
    <row r="252" spans="1:2">
      <c r="A252" t="str">
        <f>IF(livegame!$V$21,"",IF(A252&lt;&gt;"",A252,IF(AND(livegame!$T$20,livegame!$U$20&lt;&gt;"",B252="",B251&lt;&gt;""),livegame!$U$20,"")))</f>
        <v/>
      </c>
      <c r="B252" t="str">
        <f>IF(livegame!$V$21,"",IF(livegame!$T$20,B252,A252))</f>
        <v/>
      </c>
    </row>
    <row r="253" spans="1:2">
      <c r="A253" t="str">
        <f>IF(livegame!$V$21,"",IF(A253&lt;&gt;"",A253,IF(AND(livegame!$T$20,livegame!$U$20&lt;&gt;"",B253="",B252&lt;&gt;""),livegame!$U$20,"")))</f>
        <v/>
      </c>
      <c r="B253" t="str">
        <f>IF(livegame!$V$21,"",IF(livegame!$T$20,B253,A253))</f>
        <v/>
      </c>
    </row>
    <row r="254" spans="1:2">
      <c r="A254" t="str">
        <f>IF(livegame!$V$21,"",IF(A254&lt;&gt;"",A254,IF(AND(livegame!$T$20,livegame!$U$20&lt;&gt;"",B254="",B253&lt;&gt;""),livegame!$U$20,"")))</f>
        <v/>
      </c>
      <c r="B254" t="str">
        <f>IF(livegame!$V$21,"",IF(livegame!$T$20,B254,A254))</f>
        <v/>
      </c>
    </row>
    <row r="255" spans="1:2">
      <c r="A255" t="str">
        <f>IF(livegame!$V$21,"",IF(A255&lt;&gt;"",A255,IF(AND(livegame!$T$20,livegame!$U$20&lt;&gt;"",B255="",B254&lt;&gt;""),livegame!$U$20,"")))</f>
        <v/>
      </c>
      <c r="B255" t="str">
        <f>IF(livegame!$V$21,"",IF(livegame!$T$20,B255,A255))</f>
        <v/>
      </c>
    </row>
    <row r="256" spans="1:2">
      <c r="A256" t="str">
        <f>IF(livegame!$V$21,"",IF(A256&lt;&gt;"",A256,IF(AND(livegame!$T$20,livegame!$U$20&lt;&gt;"",B256="",B255&lt;&gt;""),livegame!$U$20,"")))</f>
        <v/>
      </c>
      <c r="B256" t="str">
        <f>IF(livegame!$V$21,"",IF(livegame!$T$20,B256,A256))</f>
        <v/>
      </c>
    </row>
    <row r="257" spans="1:2">
      <c r="A257" t="str">
        <f>IF(livegame!$V$21,"",IF(A257&lt;&gt;"",A257,IF(AND(livegame!$T$20,livegame!$U$20&lt;&gt;"",B257="",B256&lt;&gt;""),livegame!$U$20,"")))</f>
        <v/>
      </c>
      <c r="B257" t="str">
        <f>IF(livegame!$V$21,"",IF(livegame!$T$20,B257,A257))</f>
        <v/>
      </c>
    </row>
    <row r="258" spans="1:2">
      <c r="A258" t="str">
        <f>IF(livegame!$V$21,"",IF(A258&lt;&gt;"",A258,IF(AND(livegame!$T$20,livegame!$U$20&lt;&gt;"",B258="",B257&lt;&gt;""),livegame!$U$20,"")))</f>
        <v/>
      </c>
      <c r="B258" t="str">
        <f>IF(livegame!$V$21,"",IF(livegame!$T$20,B258,A258))</f>
        <v/>
      </c>
    </row>
    <row r="259" spans="1:2">
      <c r="A259" t="str">
        <f>IF(livegame!$V$21,"",IF(A259&lt;&gt;"",A259,IF(AND(livegame!$T$20,livegame!$U$20&lt;&gt;"",B259="",B258&lt;&gt;""),livegame!$U$20,"")))</f>
        <v/>
      </c>
      <c r="B259" t="str">
        <f>IF(livegame!$V$21,"",IF(livegame!$T$20,B259,A259))</f>
        <v/>
      </c>
    </row>
    <row r="260" spans="1:2">
      <c r="A260" t="str">
        <f>IF(livegame!$V$21,"",IF(A260&lt;&gt;"",A260,IF(AND(livegame!$T$20,livegame!$U$20&lt;&gt;"",B260="",B259&lt;&gt;""),livegame!$U$20,"")))</f>
        <v/>
      </c>
      <c r="B260" t="str">
        <f>IF(livegame!$V$21,"",IF(livegame!$T$20,B260,A260))</f>
        <v/>
      </c>
    </row>
    <row r="261" spans="1:2">
      <c r="A261" t="str">
        <f>IF(livegame!$V$21,"",IF(A261&lt;&gt;"",A261,IF(AND(livegame!$T$20,livegame!$U$20&lt;&gt;"",B261="",B260&lt;&gt;""),livegame!$U$20,"")))</f>
        <v/>
      </c>
      <c r="B261" t="str">
        <f>IF(livegame!$V$21,"",IF(livegame!$T$20,B261,A261))</f>
        <v/>
      </c>
    </row>
    <row r="262" spans="1:2">
      <c r="A262" t="str">
        <f>IF(livegame!$V$21,"",IF(A262&lt;&gt;"",A262,IF(AND(livegame!$T$20,livegame!$U$20&lt;&gt;"",B262="",B261&lt;&gt;""),livegame!$U$20,"")))</f>
        <v/>
      </c>
      <c r="B262" t="str">
        <f>IF(livegame!$V$21,"",IF(livegame!$T$20,B262,A262))</f>
        <v/>
      </c>
    </row>
    <row r="263" spans="1:2">
      <c r="A263" t="str">
        <f>IF(livegame!$V$21,"",IF(A263&lt;&gt;"",A263,IF(AND(livegame!$T$20,livegame!$U$20&lt;&gt;"",B263="",B262&lt;&gt;""),livegame!$U$20,"")))</f>
        <v/>
      </c>
      <c r="B263" t="str">
        <f>IF(livegame!$V$21,"",IF(livegame!$T$20,B263,A263))</f>
        <v/>
      </c>
    </row>
    <row r="264" spans="1:2">
      <c r="A264" t="str">
        <f>IF(livegame!$V$21,"",IF(A264&lt;&gt;"",A264,IF(AND(livegame!$T$20,livegame!$U$20&lt;&gt;"",B264="",B263&lt;&gt;""),livegame!$U$20,"")))</f>
        <v/>
      </c>
      <c r="B264" t="str">
        <f>IF(livegame!$V$21,"",IF(livegame!$T$20,B264,A264))</f>
        <v/>
      </c>
    </row>
    <row r="265" spans="1:2">
      <c r="A265" t="str">
        <f>IF(livegame!$V$21,"",IF(A265&lt;&gt;"",A265,IF(AND(livegame!$T$20,livegame!$U$20&lt;&gt;"",B265="",B264&lt;&gt;""),livegame!$U$20,"")))</f>
        <v/>
      </c>
      <c r="B265" t="str">
        <f>IF(livegame!$V$21,"",IF(livegame!$T$20,B265,A265))</f>
        <v/>
      </c>
    </row>
    <row r="266" spans="1:2">
      <c r="A266" t="str">
        <f>IF(livegame!$V$21,"",IF(A266&lt;&gt;"",A266,IF(AND(livegame!$T$20,livegame!$U$20&lt;&gt;"",B266="",B265&lt;&gt;""),livegame!$U$20,"")))</f>
        <v/>
      </c>
      <c r="B266" t="str">
        <f>IF(livegame!$V$21,"",IF(livegame!$T$20,B266,A266))</f>
        <v/>
      </c>
    </row>
    <row r="267" spans="1:2">
      <c r="A267" t="str">
        <f>IF(livegame!$V$21,"",IF(A267&lt;&gt;"",A267,IF(AND(livegame!$T$20,livegame!$U$20&lt;&gt;"",B267="",B266&lt;&gt;""),livegame!$U$20,"")))</f>
        <v/>
      </c>
      <c r="B267" t="str">
        <f>IF(livegame!$V$21,"",IF(livegame!$T$20,B267,A267))</f>
        <v/>
      </c>
    </row>
    <row r="268" spans="1:2">
      <c r="A268" t="str">
        <f>IF(livegame!$V$21,"",IF(A268&lt;&gt;"",A268,IF(AND(livegame!$T$20,livegame!$U$20&lt;&gt;"",B268="",B267&lt;&gt;""),livegame!$U$20,"")))</f>
        <v/>
      </c>
      <c r="B268" t="str">
        <f>IF(livegame!$V$21,"",IF(livegame!$T$20,B268,A268))</f>
        <v/>
      </c>
    </row>
    <row r="269" spans="1:2">
      <c r="A269" t="str">
        <f>IF(livegame!$V$21,"",IF(A269&lt;&gt;"",A269,IF(AND(livegame!$T$20,livegame!$U$20&lt;&gt;"",B269="",B268&lt;&gt;""),livegame!$U$20,"")))</f>
        <v/>
      </c>
      <c r="B269" t="str">
        <f>IF(livegame!$V$21,"",IF(livegame!$T$20,B269,A269))</f>
        <v/>
      </c>
    </row>
    <row r="270" spans="1:2">
      <c r="A270" t="str">
        <f>IF(livegame!$V$21,"",IF(A270&lt;&gt;"",A270,IF(AND(livegame!$T$20,livegame!$U$20&lt;&gt;"",B270="",B269&lt;&gt;""),livegame!$U$20,"")))</f>
        <v/>
      </c>
      <c r="B270" t="str">
        <f>IF(livegame!$V$21,"",IF(livegame!$T$20,B270,A270))</f>
        <v/>
      </c>
    </row>
    <row r="271" spans="1:2">
      <c r="A271" t="str">
        <f>IF(livegame!$V$21,"",IF(A271&lt;&gt;"",A271,IF(AND(livegame!$T$20,livegame!$U$20&lt;&gt;"",B271="",B270&lt;&gt;""),livegame!$U$20,"")))</f>
        <v/>
      </c>
      <c r="B271" t="str">
        <f>IF(livegame!$V$21,"",IF(livegame!$T$20,B271,A271))</f>
        <v/>
      </c>
    </row>
    <row r="272" spans="1:2">
      <c r="A272" t="str">
        <f>IF(livegame!$V$21,"",IF(A272&lt;&gt;"",A272,IF(AND(livegame!$T$20,livegame!$U$20&lt;&gt;"",B272="",B271&lt;&gt;""),livegame!$U$20,"")))</f>
        <v/>
      </c>
      <c r="B272" t="str">
        <f>IF(livegame!$V$21,"",IF(livegame!$T$20,B272,A272))</f>
        <v/>
      </c>
    </row>
    <row r="273" spans="1:2">
      <c r="A273" t="str">
        <f>IF(livegame!$V$21,"",IF(A273&lt;&gt;"",A273,IF(AND(livegame!$T$20,livegame!$U$20&lt;&gt;"",B273="",B272&lt;&gt;""),livegame!$U$20,"")))</f>
        <v/>
      </c>
      <c r="B273" t="str">
        <f>IF(livegame!$V$21,"",IF(livegame!$T$20,B273,A273))</f>
        <v/>
      </c>
    </row>
    <row r="274" spans="1:2">
      <c r="A274" t="str">
        <f>IF(livegame!$V$21,"",IF(A274&lt;&gt;"",A274,IF(AND(livegame!$T$20,livegame!$U$20&lt;&gt;"",B274="",B273&lt;&gt;""),livegame!$U$20,"")))</f>
        <v/>
      </c>
      <c r="B274" t="str">
        <f>IF(livegame!$V$21,"",IF(livegame!$T$20,B274,A274))</f>
        <v/>
      </c>
    </row>
    <row r="275" spans="1:2">
      <c r="A275" t="str">
        <f>IF(livegame!$V$21,"",IF(A275&lt;&gt;"",A275,IF(AND(livegame!$T$20,livegame!$U$20&lt;&gt;"",B275="",B274&lt;&gt;""),livegame!$U$20,"")))</f>
        <v/>
      </c>
      <c r="B275" t="str">
        <f>IF(livegame!$V$21,"",IF(livegame!$T$20,B275,A275))</f>
        <v/>
      </c>
    </row>
    <row r="276" spans="1:2">
      <c r="A276" t="str">
        <f>IF(livegame!$V$21,"",IF(A276&lt;&gt;"",A276,IF(AND(livegame!$T$20,livegame!$U$20&lt;&gt;"",B276="",B275&lt;&gt;""),livegame!$U$20,"")))</f>
        <v/>
      </c>
      <c r="B276" t="str">
        <f>IF(livegame!$V$21,"",IF(livegame!$T$20,B276,A276))</f>
        <v/>
      </c>
    </row>
    <row r="277" spans="1:2">
      <c r="A277" t="str">
        <f>IF(livegame!$V$21,"",IF(A277&lt;&gt;"",A277,IF(AND(livegame!$T$20,livegame!$U$20&lt;&gt;"",B277="",B276&lt;&gt;""),livegame!$U$20,"")))</f>
        <v/>
      </c>
      <c r="B277" t="str">
        <f>IF(livegame!$V$21,"",IF(livegame!$T$20,B277,A277))</f>
        <v/>
      </c>
    </row>
    <row r="278" spans="1:2">
      <c r="A278" t="str">
        <f>IF(livegame!$V$21,"",IF(A278&lt;&gt;"",A278,IF(AND(livegame!$T$20,livegame!$U$20&lt;&gt;"",B278="",B277&lt;&gt;""),livegame!$U$20,"")))</f>
        <v/>
      </c>
      <c r="B278" t="str">
        <f>IF(livegame!$V$21,"",IF(livegame!$T$20,B278,A278))</f>
        <v/>
      </c>
    </row>
    <row r="279" spans="1:2">
      <c r="A279" t="str">
        <f>IF(livegame!$V$21,"",IF(A279&lt;&gt;"",A279,IF(AND(livegame!$T$20,livegame!$U$20&lt;&gt;"",B279="",B278&lt;&gt;""),livegame!$U$20,"")))</f>
        <v/>
      </c>
      <c r="B279" t="str">
        <f>IF(livegame!$V$21,"",IF(livegame!$T$20,B279,A279))</f>
        <v/>
      </c>
    </row>
    <row r="280" spans="1:2">
      <c r="A280" t="str">
        <f>IF(livegame!$V$21,"",IF(A280&lt;&gt;"",A280,IF(AND(livegame!$T$20,livegame!$U$20&lt;&gt;"",B280="",B279&lt;&gt;""),livegame!$U$20,"")))</f>
        <v/>
      </c>
      <c r="B280" t="str">
        <f>IF(livegame!$V$21,"",IF(livegame!$T$20,B280,A280))</f>
        <v/>
      </c>
    </row>
    <row r="281" spans="1:2">
      <c r="A281" t="str">
        <f>IF(livegame!$V$21,"",IF(A281&lt;&gt;"",A281,IF(AND(livegame!$T$20,livegame!$U$20&lt;&gt;"",B281="",B280&lt;&gt;""),livegame!$U$20,"")))</f>
        <v/>
      </c>
      <c r="B281" t="str">
        <f>IF(livegame!$V$21,"",IF(livegame!$T$20,B281,A281))</f>
        <v/>
      </c>
    </row>
    <row r="282" spans="1:2">
      <c r="A282" t="str">
        <f>IF(livegame!$V$21,"",IF(A282&lt;&gt;"",A282,IF(AND(livegame!$T$20,livegame!$U$20&lt;&gt;"",B282="",B281&lt;&gt;""),livegame!$U$20,"")))</f>
        <v/>
      </c>
      <c r="B282" t="str">
        <f>IF(livegame!$V$21,"",IF(livegame!$T$20,B282,A282))</f>
        <v/>
      </c>
    </row>
    <row r="283" spans="1:2">
      <c r="A283" t="str">
        <f>IF(livegame!$V$21,"",IF(A283&lt;&gt;"",A283,IF(AND(livegame!$T$20,livegame!$U$20&lt;&gt;"",B283="",B282&lt;&gt;""),livegame!$U$20,"")))</f>
        <v/>
      </c>
      <c r="B283" t="str">
        <f>IF(livegame!$V$21,"",IF(livegame!$T$20,B283,A283))</f>
        <v/>
      </c>
    </row>
    <row r="284" spans="1:2">
      <c r="A284" t="str">
        <f>IF(livegame!$V$21,"",IF(A284&lt;&gt;"",A284,IF(AND(livegame!$T$20,livegame!$U$20&lt;&gt;"",B284="",B283&lt;&gt;""),livegame!$U$20,"")))</f>
        <v/>
      </c>
      <c r="B284" t="str">
        <f>IF(livegame!$V$21,"",IF(livegame!$T$20,B284,A284))</f>
        <v/>
      </c>
    </row>
    <row r="285" spans="1:2">
      <c r="A285" t="str">
        <f>IF(livegame!$V$21,"",IF(A285&lt;&gt;"",A285,IF(AND(livegame!$T$20,livegame!$U$20&lt;&gt;"",B285="",B284&lt;&gt;""),livegame!$U$20,"")))</f>
        <v/>
      </c>
      <c r="B285" t="str">
        <f>IF(livegame!$V$21,"",IF(livegame!$T$20,B285,A285))</f>
        <v/>
      </c>
    </row>
    <row r="286" spans="1:2">
      <c r="A286" t="str">
        <f>IF(livegame!$V$21,"",IF(A286&lt;&gt;"",A286,IF(AND(livegame!$T$20,livegame!$U$20&lt;&gt;"",B286="",B285&lt;&gt;""),livegame!$U$20,"")))</f>
        <v/>
      </c>
      <c r="B286" t="str">
        <f>IF(livegame!$V$21,"",IF(livegame!$T$20,B286,A286))</f>
        <v/>
      </c>
    </row>
    <row r="287" spans="1:2">
      <c r="A287" t="str">
        <f>IF(livegame!$V$21,"",IF(A287&lt;&gt;"",A287,IF(AND(livegame!$T$20,livegame!$U$20&lt;&gt;"",B287="",B286&lt;&gt;""),livegame!$U$20,"")))</f>
        <v/>
      </c>
      <c r="B287" t="str">
        <f>IF(livegame!$V$21,"",IF(livegame!$T$20,B287,A287))</f>
        <v/>
      </c>
    </row>
    <row r="288" spans="1:2">
      <c r="A288" t="str">
        <f>IF(livegame!$V$21,"",IF(A288&lt;&gt;"",A288,IF(AND(livegame!$T$20,livegame!$U$20&lt;&gt;"",B288="",B287&lt;&gt;""),livegame!$U$20,"")))</f>
        <v/>
      </c>
      <c r="B288" t="str">
        <f>IF(livegame!$V$21,"",IF(livegame!$T$20,B288,A288))</f>
        <v/>
      </c>
    </row>
    <row r="289" spans="1:2">
      <c r="A289" t="str">
        <f>IF(livegame!$V$21,"",IF(A289&lt;&gt;"",A289,IF(AND(livegame!$T$20,livegame!$U$20&lt;&gt;"",B289="",B288&lt;&gt;""),livegame!$U$20,"")))</f>
        <v/>
      </c>
      <c r="B289" t="str">
        <f>IF(livegame!$V$21,"",IF(livegame!$T$20,B289,A289))</f>
        <v/>
      </c>
    </row>
    <row r="290" spans="1:2">
      <c r="A290" t="str">
        <f>IF(livegame!$V$21,"",IF(A290&lt;&gt;"",A290,IF(AND(livegame!$T$20,livegame!$U$20&lt;&gt;"",B290="",B289&lt;&gt;""),livegame!$U$20,"")))</f>
        <v/>
      </c>
      <c r="B290" t="str">
        <f>IF(livegame!$V$21,"",IF(livegame!$T$20,B290,A290))</f>
        <v/>
      </c>
    </row>
    <row r="291" spans="1:2">
      <c r="A291" t="str">
        <f>IF(livegame!$V$21,"",IF(A291&lt;&gt;"",A291,IF(AND(livegame!$T$20,livegame!$U$20&lt;&gt;"",B291="",B290&lt;&gt;""),livegame!$U$20,"")))</f>
        <v/>
      </c>
      <c r="B291" t="str">
        <f>IF(livegame!$V$21,"",IF(livegame!$T$20,B291,A291))</f>
        <v/>
      </c>
    </row>
    <row r="292" spans="1:2">
      <c r="A292" t="str">
        <f>IF(livegame!$V$21,"",IF(A292&lt;&gt;"",A292,IF(AND(livegame!$T$20,livegame!$U$20&lt;&gt;"",B292="",B291&lt;&gt;""),livegame!$U$20,"")))</f>
        <v/>
      </c>
      <c r="B292" t="str">
        <f>IF(livegame!$V$21,"",IF(livegame!$T$20,B292,A292))</f>
        <v/>
      </c>
    </row>
    <row r="293" spans="1:2">
      <c r="A293" t="str">
        <f>IF(livegame!$V$21,"",IF(A293&lt;&gt;"",A293,IF(AND(livegame!$T$20,livegame!$U$20&lt;&gt;"",B293="",B292&lt;&gt;""),livegame!$U$20,"")))</f>
        <v/>
      </c>
      <c r="B293" t="str">
        <f>IF(livegame!$V$21,"",IF(livegame!$T$20,B293,A293))</f>
        <v/>
      </c>
    </row>
    <row r="294" spans="1:2">
      <c r="A294" t="str">
        <f>IF(livegame!$V$21,"",IF(A294&lt;&gt;"",A294,IF(AND(livegame!$T$20,livegame!$U$20&lt;&gt;"",B294="",B293&lt;&gt;""),livegame!$U$20,"")))</f>
        <v/>
      </c>
      <c r="B294" t="str">
        <f>IF(livegame!$V$21,"",IF(livegame!$T$20,B294,A294))</f>
        <v/>
      </c>
    </row>
    <row r="295" spans="1:2">
      <c r="A295" t="str">
        <f>IF(livegame!$V$21,"",IF(A295&lt;&gt;"",A295,IF(AND(livegame!$T$20,livegame!$U$20&lt;&gt;"",B295="",B294&lt;&gt;""),livegame!$U$20,"")))</f>
        <v/>
      </c>
      <c r="B295" t="str">
        <f>IF(livegame!$V$21,"",IF(livegame!$T$20,B295,A295))</f>
        <v/>
      </c>
    </row>
    <row r="296" spans="1:2">
      <c r="A296" t="str">
        <f>IF(livegame!$V$21,"",IF(A296&lt;&gt;"",A296,IF(AND(livegame!$T$20,livegame!$U$20&lt;&gt;"",B296="",B295&lt;&gt;""),livegame!$U$20,"")))</f>
        <v/>
      </c>
      <c r="B296" t="str">
        <f>IF(livegame!$V$21,"",IF(livegame!$T$20,B296,A296))</f>
        <v/>
      </c>
    </row>
    <row r="297" spans="1:2">
      <c r="A297" t="str">
        <f>IF(livegame!$V$21,"",IF(A297&lt;&gt;"",A297,IF(AND(livegame!$T$20,livegame!$U$20&lt;&gt;"",B297="",B296&lt;&gt;""),livegame!$U$20,"")))</f>
        <v/>
      </c>
      <c r="B297" t="str">
        <f>IF(livegame!$V$21,"",IF(livegame!$T$20,B297,A297))</f>
        <v/>
      </c>
    </row>
    <row r="298" spans="1:2">
      <c r="A298" t="str">
        <f>IF(livegame!$V$21,"",IF(A298&lt;&gt;"",A298,IF(AND(livegame!$T$20,livegame!$U$20&lt;&gt;"",B298="",B297&lt;&gt;""),livegame!$U$20,"")))</f>
        <v/>
      </c>
      <c r="B298" t="str">
        <f>IF(livegame!$V$21,"",IF(livegame!$T$20,B298,A298))</f>
        <v/>
      </c>
    </row>
    <row r="299" spans="1:2">
      <c r="A299" t="str">
        <f>IF(livegame!$V$21,"",IF(A299&lt;&gt;"",A299,IF(AND(livegame!$T$20,livegame!$U$20&lt;&gt;"",B299="",B298&lt;&gt;""),livegame!$U$20,"")))</f>
        <v/>
      </c>
      <c r="B299" t="str">
        <f>IF(livegame!$V$21,"",IF(livegame!$T$20,B299,A299))</f>
        <v/>
      </c>
    </row>
    <row r="300" spans="1:2">
      <c r="A300" t="str">
        <f>IF(livegame!$V$21,"",IF(A300&lt;&gt;"",A300,IF(AND(livegame!$T$20,livegame!$U$20&lt;&gt;"",B300="",B299&lt;&gt;""),livegame!$U$20,"")))</f>
        <v/>
      </c>
      <c r="B300" t="str">
        <f>IF(livegame!$V$21,"",IF(livegame!$T$20,B300,A300))</f>
        <v/>
      </c>
    </row>
    <row r="301" spans="1:2">
      <c r="A301" t="str">
        <f>IF(livegame!$V$21,"",IF(A301&lt;&gt;"",A301,IF(AND(livegame!$T$20,livegame!$U$20&lt;&gt;"",B301="",B300&lt;&gt;""),livegame!$U$20,"")))</f>
        <v/>
      </c>
      <c r="B301" t="str">
        <f>IF(livegame!$V$21,"",IF(livegame!$T$20,B301,A301))</f>
        <v/>
      </c>
    </row>
    <row r="302" spans="1:2">
      <c r="A302" t="str">
        <f>IF(livegame!$V$21,"",IF(A302&lt;&gt;"",A302,IF(AND(livegame!$T$20,livegame!$U$20&lt;&gt;"",B302="",B301&lt;&gt;""),livegame!$U$20,"")))</f>
        <v/>
      </c>
      <c r="B302" t="str">
        <f>IF(livegame!$V$21,"",IF(livegame!$T$20,B302,A302))</f>
        <v/>
      </c>
    </row>
    <row r="303" spans="1:2">
      <c r="A303" t="str">
        <f>IF(livegame!$V$21,"",IF(A303&lt;&gt;"",A303,IF(AND(livegame!$T$20,livegame!$U$20&lt;&gt;"",B303="",B302&lt;&gt;""),livegame!$U$20,"")))</f>
        <v/>
      </c>
      <c r="B303" t="str">
        <f>IF(livegame!$V$21,"",IF(livegame!$T$20,B303,A303))</f>
        <v/>
      </c>
    </row>
    <row r="304" spans="1:2">
      <c r="A304" t="str">
        <f>IF(livegame!$V$21,"",IF(A304&lt;&gt;"",A304,IF(AND(livegame!$T$20,livegame!$U$20&lt;&gt;"",B304="",B303&lt;&gt;""),livegame!$U$20,"")))</f>
        <v/>
      </c>
      <c r="B304" t="str">
        <f>IF(livegame!$V$21,"",IF(livegame!$T$20,B304,A304))</f>
        <v/>
      </c>
    </row>
    <row r="305" spans="1:2">
      <c r="A305" t="str">
        <f>IF(livegame!$V$21,"",IF(A305&lt;&gt;"",A305,IF(AND(livegame!$T$20,livegame!$U$20&lt;&gt;"",B305="",B304&lt;&gt;""),livegame!$U$20,"")))</f>
        <v/>
      </c>
      <c r="B305" t="str">
        <f>IF(livegame!$V$21,"",IF(livegame!$T$20,B305,A305))</f>
        <v/>
      </c>
    </row>
    <row r="306" spans="1:2">
      <c r="A306" t="str">
        <f>IF(livegame!$V$21,"",IF(A306&lt;&gt;"",A306,IF(AND(livegame!$T$20,livegame!$U$20&lt;&gt;"",B306="",B305&lt;&gt;""),livegame!$U$20,"")))</f>
        <v/>
      </c>
      <c r="B306" t="str">
        <f>IF(livegame!$V$21,"",IF(livegame!$T$20,B306,A306))</f>
        <v/>
      </c>
    </row>
    <row r="307" spans="1:2">
      <c r="A307" t="str">
        <f>IF(livegame!$V$21,"",IF(A307&lt;&gt;"",A307,IF(AND(livegame!$T$20,livegame!$U$20&lt;&gt;"",B307="",B306&lt;&gt;""),livegame!$U$20,"")))</f>
        <v/>
      </c>
      <c r="B307" t="str">
        <f>IF(livegame!$V$21,"",IF(livegame!$T$20,B307,A307))</f>
        <v/>
      </c>
    </row>
    <row r="308" spans="1:2">
      <c r="A308" t="str">
        <f>IF(livegame!$V$21,"",IF(A308&lt;&gt;"",A308,IF(AND(livegame!$T$20,livegame!$U$20&lt;&gt;"",B308="",B307&lt;&gt;""),livegame!$U$20,"")))</f>
        <v/>
      </c>
      <c r="B308" t="str">
        <f>IF(livegame!$V$21,"",IF(livegame!$T$20,B308,A308))</f>
        <v/>
      </c>
    </row>
    <row r="309" spans="1:2">
      <c r="A309" t="str">
        <f>IF(livegame!$V$21,"",IF(A309&lt;&gt;"",A309,IF(AND(livegame!$T$20,livegame!$U$20&lt;&gt;"",B309="",B308&lt;&gt;""),livegame!$U$20,"")))</f>
        <v/>
      </c>
      <c r="B309" t="str">
        <f>IF(livegame!$V$21,"",IF(livegame!$T$20,B309,A309))</f>
        <v/>
      </c>
    </row>
    <row r="310" spans="1:2">
      <c r="A310" t="str">
        <f>IF(livegame!$V$21,"",IF(A310&lt;&gt;"",A310,IF(AND(livegame!$T$20,livegame!$U$20&lt;&gt;"",B310="",B309&lt;&gt;""),livegame!$U$20,"")))</f>
        <v/>
      </c>
      <c r="B310" t="str">
        <f>IF(livegame!$V$21,"",IF(livegame!$T$20,B310,A310))</f>
        <v/>
      </c>
    </row>
    <row r="311" spans="1:2">
      <c r="A311" t="str">
        <f>IF(livegame!$V$21,"",IF(A311&lt;&gt;"",A311,IF(AND(livegame!$T$20,livegame!$U$20&lt;&gt;"",B311="",B310&lt;&gt;""),livegame!$U$20,"")))</f>
        <v/>
      </c>
      <c r="B311" t="str">
        <f>IF(livegame!$V$21,"",IF(livegame!$T$20,B311,A311))</f>
        <v/>
      </c>
    </row>
    <row r="312" spans="1:2">
      <c r="A312" t="str">
        <f>IF(livegame!$V$21,"",IF(A312&lt;&gt;"",A312,IF(AND(livegame!$T$20,livegame!$U$20&lt;&gt;"",B312="",B311&lt;&gt;""),livegame!$U$20,"")))</f>
        <v/>
      </c>
      <c r="B312" t="str">
        <f>IF(livegame!$V$21,"",IF(livegame!$T$20,B312,A312))</f>
        <v/>
      </c>
    </row>
    <row r="313" spans="1:2">
      <c r="A313" t="str">
        <f>IF(livegame!$V$21,"",IF(A313&lt;&gt;"",A313,IF(AND(livegame!$T$20,livegame!$U$20&lt;&gt;"",B313="",B312&lt;&gt;""),livegame!$U$20,"")))</f>
        <v/>
      </c>
      <c r="B313" t="str">
        <f>IF(livegame!$V$21,"",IF(livegame!$T$20,B313,A313))</f>
        <v/>
      </c>
    </row>
    <row r="314" spans="1:2">
      <c r="A314" t="str">
        <f>IF(livegame!$V$21,"",IF(A314&lt;&gt;"",A314,IF(AND(livegame!$T$20,livegame!$U$20&lt;&gt;"",B314="",B313&lt;&gt;""),livegame!$U$20,"")))</f>
        <v/>
      </c>
      <c r="B314" t="str">
        <f>IF(livegame!$V$21,"",IF(livegame!$T$20,B314,A314))</f>
        <v/>
      </c>
    </row>
    <row r="315" spans="1:2">
      <c r="A315" t="str">
        <f>IF(livegame!$V$21,"",IF(A315&lt;&gt;"",A315,IF(AND(livegame!$T$20,livegame!$U$20&lt;&gt;"",B315="",B314&lt;&gt;""),livegame!$U$20,"")))</f>
        <v/>
      </c>
      <c r="B315" t="str">
        <f>IF(livegame!$V$21,"",IF(livegame!$T$20,B315,A315))</f>
        <v/>
      </c>
    </row>
    <row r="316" spans="1:2">
      <c r="A316" t="str">
        <f>IF(livegame!$V$21,"",IF(A316&lt;&gt;"",A316,IF(AND(livegame!$T$20,livegame!$U$20&lt;&gt;"",B316="",B315&lt;&gt;""),livegame!$U$20,"")))</f>
        <v/>
      </c>
      <c r="B316" t="str">
        <f>IF(livegame!$V$21,"",IF(livegame!$T$20,B316,A316))</f>
        <v/>
      </c>
    </row>
    <row r="317" spans="1:2">
      <c r="A317" t="str">
        <f>IF(livegame!$V$21,"",IF(A317&lt;&gt;"",A317,IF(AND(livegame!$T$20,livegame!$U$20&lt;&gt;"",B317="",B316&lt;&gt;""),livegame!$U$20,"")))</f>
        <v/>
      </c>
      <c r="B317" t="str">
        <f>IF(livegame!$V$21,"",IF(livegame!$T$20,B317,A317))</f>
        <v/>
      </c>
    </row>
    <row r="318" spans="1:2">
      <c r="A318" t="str">
        <f>IF(livegame!$V$21,"",IF(A318&lt;&gt;"",A318,IF(AND(livegame!$T$20,livegame!$U$20&lt;&gt;"",B318="",B317&lt;&gt;""),livegame!$U$20,"")))</f>
        <v/>
      </c>
      <c r="B318" t="str">
        <f>IF(livegame!$V$21,"",IF(livegame!$T$20,B318,A318))</f>
        <v/>
      </c>
    </row>
    <row r="319" spans="1:2">
      <c r="A319" t="str">
        <f>IF(livegame!$V$21,"",IF(A319&lt;&gt;"",A319,IF(AND(livegame!$T$20,livegame!$U$20&lt;&gt;"",B319="",B318&lt;&gt;""),livegame!$U$20,"")))</f>
        <v/>
      </c>
      <c r="B319" t="str">
        <f>IF(livegame!$V$21,"",IF(livegame!$T$20,B319,A319))</f>
        <v/>
      </c>
    </row>
    <row r="320" spans="1:2">
      <c r="A320" t="str">
        <f>IF(livegame!$V$21,"",IF(A320&lt;&gt;"",A320,IF(AND(livegame!$T$20,livegame!$U$20&lt;&gt;"",B320="",B319&lt;&gt;""),livegame!$U$20,"")))</f>
        <v/>
      </c>
      <c r="B320" t="str">
        <f>IF(livegame!$V$21,"",IF(livegame!$T$20,B320,A320))</f>
        <v/>
      </c>
    </row>
    <row r="321" spans="1:2">
      <c r="A321" t="str">
        <f>IF(livegame!$V$21,"",IF(A321&lt;&gt;"",A321,IF(AND(livegame!$T$20,livegame!$U$20&lt;&gt;"",B321="",B320&lt;&gt;""),livegame!$U$20,"")))</f>
        <v/>
      </c>
      <c r="B321" t="str">
        <f>IF(livegame!$V$21,"",IF(livegame!$T$20,B321,A321))</f>
        <v/>
      </c>
    </row>
    <row r="322" spans="1:2">
      <c r="A322" t="str">
        <f>IF(livegame!$V$21,"",IF(A322&lt;&gt;"",A322,IF(AND(livegame!$T$20,livegame!$U$20&lt;&gt;"",B322="",B321&lt;&gt;""),livegame!$U$20,"")))</f>
        <v/>
      </c>
      <c r="B322" t="str">
        <f>IF(livegame!$V$21,"",IF(livegame!$T$20,B322,A322))</f>
        <v/>
      </c>
    </row>
    <row r="323" spans="1:2">
      <c r="A323" t="str">
        <f>IF(livegame!$V$21,"",IF(A323&lt;&gt;"",A323,IF(AND(livegame!$T$20,livegame!$U$20&lt;&gt;"",B323="",B322&lt;&gt;""),livegame!$U$20,"")))</f>
        <v/>
      </c>
      <c r="B323" t="str">
        <f>IF(livegame!$V$21,"",IF(livegame!$T$20,B323,A323))</f>
        <v/>
      </c>
    </row>
    <row r="324" spans="1:2">
      <c r="A324" t="str">
        <f>IF(livegame!$V$21,"",IF(A324&lt;&gt;"",A324,IF(AND(livegame!$T$20,livegame!$U$20&lt;&gt;"",B324="",B323&lt;&gt;""),livegame!$U$20,"")))</f>
        <v/>
      </c>
      <c r="B324" t="str">
        <f>IF(livegame!$V$21,"",IF(livegame!$T$20,B324,A324))</f>
        <v/>
      </c>
    </row>
    <row r="325" spans="1:2">
      <c r="A325" t="str">
        <f>IF(livegame!$V$21,"",IF(A325&lt;&gt;"",A325,IF(AND(livegame!$T$20,livegame!$U$20&lt;&gt;"",B325="",B324&lt;&gt;""),livegame!$U$20,"")))</f>
        <v/>
      </c>
      <c r="B325" t="str">
        <f>IF(livegame!$V$21,"",IF(livegame!$T$20,B325,A325))</f>
        <v/>
      </c>
    </row>
    <row r="326" spans="1:2">
      <c r="A326" t="str">
        <f>IF(livegame!$V$21,"",IF(A326&lt;&gt;"",A326,IF(AND(livegame!$T$20,livegame!$U$20&lt;&gt;"",B326="",B325&lt;&gt;""),livegame!$U$20,"")))</f>
        <v/>
      </c>
      <c r="B326" t="str">
        <f>IF(livegame!$V$21,"",IF(livegame!$T$20,B326,A326))</f>
        <v/>
      </c>
    </row>
    <row r="327" spans="1:2">
      <c r="A327" t="str">
        <f>IF(livegame!$V$21,"",IF(A327&lt;&gt;"",A327,IF(AND(livegame!$T$20,livegame!$U$20&lt;&gt;"",B327="",B326&lt;&gt;""),livegame!$U$20,"")))</f>
        <v/>
      </c>
      <c r="B327" t="str">
        <f>IF(livegame!$V$21,"",IF(livegame!$T$20,B327,A327))</f>
        <v/>
      </c>
    </row>
    <row r="328" spans="1:2">
      <c r="A328" t="str">
        <f>IF(livegame!$V$21,"",IF(A328&lt;&gt;"",A328,IF(AND(livegame!$T$20,livegame!$U$20&lt;&gt;"",B328="",B327&lt;&gt;""),livegame!$U$20,"")))</f>
        <v/>
      </c>
      <c r="B328" t="str">
        <f>IF(livegame!$V$21,"",IF(livegame!$T$20,B328,A328))</f>
        <v/>
      </c>
    </row>
    <row r="329" spans="1:2">
      <c r="A329" t="str">
        <f>IF(livegame!$V$21,"",IF(A329&lt;&gt;"",A329,IF(AND(livegame!$T$20,livegame!$U$20&lt;&gt;"",B329="",B328&lt;&gt;""),livegame!$U$20,"")))</f>
        <v/>
      </c>
      <c r="B329" t="str">
        <f>IF(livegame!$V$21,"",IF(livegame!$T$20,B329,A329))</f>
        <v/>
      </c>
    </row>
    <row r="330" spans="1:2">
      <c r="A330" t="str">
        <f>IF(livegame!$V$21,"",IF(A330&lt;&gt;"",A330,IF(AND(livegame!$T$20,livegame!$U$20&lt;&gt;"",B330="",B329&lt;&gt;""),livegame!$U$20,"")))</f>
        <v/>
      </c>
      <c r="B330" t="str">
        <f>IF(livegame!$V$21,"",IF(livegame!$T$20,B330,A330))</f>
        <v/>
      </c>
    </row>
    <row r="331" spans="1:2">
      <c r="A331" t="str">
        <f>IF(livegame!$V$21,"",IF(A331&lt;&gt;"",A331,IF(AND(livegame!$T$20,livegame!$U$20&lt;&gt;"",B331="",B330&lt;&gt;""),livegame!$U$20,"")))</f>
        <v/>
      </c>
      <c r="B331" t="str">
        <f>IF(livegame!$V$21,"",IF(livegame!$T$20,B331,A331))</f>
        <v/>
      </c>
    </row>
    <row r="332" spans="1:2">
      <c r="A332" t="str">
        <f>IF(livegame!$V$21,"",IF(A332&lt;&gt;"",A332,IF(AND(livegame!$T$20,livegame!$U$20&lt;&gt;"",B332="",B331&lt;&gt;""),livegame!$U$20,"")))</f>
        <v/>
      </c>
      <c r="B332" t="str">
        <f>IF(livegame!$V$21,"",IF(livegame!$T$20,B332,A332))</f>
        <v/>
      </c>
    </row>
    <row r="333" spans="1:2">
      <c r="A333" t="str">
        <f>IF(livegame!$V$21,"",IF(A333&lt;&gt;"",A333,IF(AND(livegame!$T$20,livegame!$U$20&lt;&gt;"",B333="",B332&lt;&gt;""),livegame!$U$20,"")))</f>
        <v/>
      </c>
      <c r="B333" t="str">
        <f>IF(livegame!$V$21,"",IF(livegame!$T$20,B333,A333))</f>
        <v/>
      </c>
    </row>
    <row r="334" spans="1:2">
      <c r="A334" t="str">
        <f>IF(livegame!$V$21,"",IF(A334&lt;&gt;"",A334,IF(AND(livegame!$T$20,livegame!$U$20&lt;&gt;"",B334="",B333&lt;&gt;""),livegame!$U$20,"")))</f>
        <v/>
      </c>
      <c r="B334" t="str">
        <f>IF(livegame!$V$21,"",IF(livegame!$T$20,B334,A334))</f>
        <v/>
      </c>
    </row>
    <row r="335" spans="1:2">
      <c r="A335" t="str">
        <f>IF(livegame!$V$21,"",IF(A335&lt;&gt;"",A335,IF(AND(livegame!$T$20,livegame!$U$20&lt;&gt;"",B335="",B334&lt;&gt;""),livegame!$U$20,"")))</f>
        <v/>
      </c>
      <c r="B335" t="str">
        <f>IF(livegame!$V$21,"",IF(livegame!$T$20,B335,A335))</f>
        <v/>
      </c>
    </row>
    <row r="336" spans="1:2">
      <c r="A336" t="str">
        <f>IF(livegame!$V$21,"",IF(A336&lt;&gt;"",A336,IF(AND(livegame!$T$20,livegame!$U$20&lt;&gt;"",B336="",B335&lt;&gt;""),livegame!$U$20,"")))</f>
        <v/>
      </c>
      <c r="B336" t="str">
        <f>IF(livegame!$V$21,"",IF(livegame!$T$20,B336,A336))</f>
        <v/>
      </c>
    </row>
    <row r="337" spans="1:2">
      <c r="A337" t="str">
        <f>IF(livegame!$V$21,"",IF(A337&lt;&gt;"",A337,IF(AND(livegame!$T$20,livegame!$U$20&lt;&gt;"",B337="",B336&lt;&gt;""),livegame!$U$20,"")))</f>
        <v/>
      </c>
      <c r="B337" t="str">
        <f>IF(livegame!$V$21,"",IF(livegame!$T$20,B337,A337))</f>
        <v/>
      </c>
    </row>
    <row r="338" spans="1:2">
      <c r="A338" t="str">
        <f>IF(livegame!$V$21,"",IF(A338&lt;&gt;"",A338,IF(AND(livegame!$T$20,livegame!$U$20&lt;&gt;"",B338="",B337&lt;&gt;""),livegame!$U$20,"")))</f>
        <v/>
      </c>
      <c r="B338" t="str">
        <f>IF(livegame!$V$21,"",IF(livegame!$T$20,B338,A338))</f>
        <v/>
      </c>
    </row>
    <row r="339" spans="1:2">
      <c r="A339" t="str">
        <f>IF(livegame!$V$21,"",IF(A339&lt;&gt;"",A339,IF(AND(livegame!$T$20,livegame!$U$20&lt;&gt;"",B339="",B338&lt;&gt;""),livegame!$U$20,"")))</f>
        <v/>
      </c>
      <c r="B339" t="str">
        <f>IF(livegame!$V$21,"",IF(livegame!$T$20,B339,A339))</f>
        <v/>
      </c>
    </row>
    <row r="340" spans="1:2">
      <c r="A340" t="str">
        <f>IF(livegame!$V$21,"",IF(A340&lt;&gt;"",A340,IF(AND(livegame!$T$20,livegame!$U$20&lt;&gt;"",B340="",B339&lt;&gt;""),livegame!$U$20,"")))</f>
        <v/>
      </c>
      <c r="B340" t="str">
        <f>IF(livegame!$V$21,"",IF(livegame!$T$20,B340,A340))</f>
        <v/>
      </c>
    </row>
    <row r="341" spans="1:2">
      <c r="A341" t="str">
        <f>IF(livegame!$V$21,"",IF(A341&lt;&gt;"",A341,IF(AND(livegame!$T$20,livegame!$U$20&lt;&gt;"",B341="",B340&lt;&gt;""),livegame!$U$20,"")))</f>
        <v/>
      </c>
      <c r="B341" t="str">
        <f>IF(livegame!$V$21,"",IF(livegame!$T$20,B341,A341))</f>
        <v/>
      </c>
    </row>
    <row r="342" spans="1:2">
      <c r="A342" t="str">
        <f>IF(livegame!$V$21,"",IF(A342&lt;&gt;"",A342,IF(AND(livegame!$T$20,livegame!$U$20&lt;&gt;"",B342="",B341&lt;&gt;""),livegame!$U$20,"")))</f>
        <v/>
      </c>
      <c r="B342" t="str">
        <f>IF(livegame!$V$21,"",IF(livegame!$T$20,B342,A342))</f>
        <v/>
      </c>
    </row>
    <row r="343" spans="1:2">
      <c r="A343" t="str">
        <f>IF(livegame!$V$21,"",IF(A343&lt;&gt;"",A343,IF(AND(livegame!$T$20,livegame!$U$20&lt;&gt;"",B343="",B342&lt;&gt;""),livegame!$U$20,"")))</f>
        <v/>
      </c>
      <c r="B343" t="str">
        <f>IF(livegame!$V$21,"",IF(livegame!$T$20,B343,A343))</f>
        <v/>
      </c>
    </row>
    <row r="344" spans="1:2">
      <c r="A344" t="str">
        <f>IF(livegame!$V$21,"",IF(A344&lt;&gt;"",A344,IF(AND(livegame!$T$20,livegame!$U$20&lt;&gt;"",B344="",B343&lt;&gt;""),livegame!$U$20,"")))</f>
        <v/>
      </c>
      <c r="B344" t="str">
        <f>IF(livegame!$V$21,"",IF(livegame!$T$20,B344,A344))</f>
        <v/>
      </c>
    </row>
    <row r="345" spans="1:2">
      <c r="A345" t="str">
        <f>IF(livegame!$V$21,"",IF(A345&lt;&gt;"",A345,IF(AND(livegame!$T$20,livegame!$U$20&lt;&gt;"",B345="",B344&lt;&gt;""),livegame!$U$20,"")))</f>
        <v/>
      </c>
      <c r="B345" t="str">
        <f>IF(livegame!$V$21,"",IF(livegame!$T$20,B345,A345))</f>
        <v/>
      </c>
    </row>
    <row r="346" spans="1:2">
      <c r="A346" t="str">
        <f>IF(livegame!$V$21,"",IF(A346&lt;&gt;"",A346,IF(AND(livegame!$T$20,livegame!$U$20&lt;&gt;"",B346="",B345&lt;&gt;""),livegame!$U$20,"")))</f>
        <v/>
      </c>
      <c r="B346" t="str">
        <f>IF(livegame!$V$21,"",IF(livegame!$T$20,B346,A346))</f>
        <v/>
      </c>
    </row>
    <row r="347" spans="1:2">
      <c r="A347" t="str">
        <f>IF(livegame!$V$21,"",IF(A347&lt;&gt;"",A347,IF(AND(livegame!$T$20,livegame!$U$20&lt;&gt;"",B347="",B346&lt;&gt;""),livegame!$U$20,"")))</f>
        <v/>
      </c>
      <c r="B347" t="str">
        <f>IF(livegame!$V$21,"",IF(livegame!$T$20,B347,A347))</f>
        <v/>
      </c>
    </row>
    <row r="348" spans="1:2">
      <c r="A348" t="str">
        <f>IF(livegame!$V$21,"",IF(A348&lt;&gt;"",A348,IF(AND(livegame!$T$20,livegame!$U$20&lt;&gt;"",B348="",B347&lt;&gt;""),livegame!$U$20,"")))</f>
        <v/>
      </c>
      <c r="B348" t="str">
        <f>IF(livegame!$V$21,"",IF(livegame!$T$20,B348,A348))</f>
        <v/>
      </c>
    </row>
    <row r="349" spans="1:2">
      <c r="A349" t="str">
        <f>IF(livegame!$V$21,"",IF(A349&lt;&gt;"",A349,IF(AND(livegame!$T$20,livegame!$U$20&lt;&gt;"",B349="",B348&lt;&gt;""),livegame!$U$20,"")))</f>
        <v/>
      </c>
      <c r="B349" t="str">
        <f>IF(livegame!$V$21,"",IF(livegame!$T$20,B349,A349))</f>
        <v/>
      </c>
    </row>
    <row r="350" spans="1:2">
      <c r="A350" t="str">
        <f>IF(livegame!$V$21,"",IF(A350&lt;&gt;"",A350,IF(AND(livegame!$T$20,livegame!$U$20&lt;&gt;"",B350="",B349&lt;&gt;""),livegame!$U$20,"")))</f>
        <v/>
      </c>
      <c r="B350" t="str">
        <f>IF(livegame!$V$21,"",IF(livegame!$T$20,B350,A350))</f>
        <v/>
      </c>
    </row>
    <row r="351" spans="1:2">
      <c r="A351" t="str">
        <f>IF(livegame!$V$21,"",IF(A351&lt;&gt;"",A351,IF(AND(livegame!$T$20,livegame!$U$20&lt;&gt;"",B351="",B350&lt;&gt;""),livegame!$U$20,"")))</f>
        <v/>
      </c>
      <c r="B351" t="str">
        <f>IF(livegame!$V$21,"",IF(livegame!$T$20,B351,A351))</f>
        <v/>
      </c>
    </row>
    <row r="352" spans="1:2">
      <c r="A352" t="str">
        <f>IF(livegame!$V$21,"",IF(A352&lt;&gt;"",A352,IF(AND(livegame!$T$20,livegame!$U$20&lt;&gt;"",B352="",B351&lt;&gt;""),livegame!$U$20,"")))</f>
        <v/>
      </c>
      <c r="B352" t="str">
        <f>IF(livegame!$V$21,"",IF(livegame!$T$20,B352,A352))</f>
        <v/>
      </c>
    </row>
    <row r="353" spans="1:2">
      <c r="A353" t="str">
        <f>IF(livegame!$V$21,"",IF(A353&lt;&gt;"",A353,IF(AND(livegame!$T$20,livegame!$U$20&lt;&gt;"",B353="",B352&lt;&gt;""),livegame!$U$20,"")))</f>
        <v/>
      </c>
      <c r="B353" t="str">
        <f>IF(livegame!$V$21,"",IF(livegame!$T$20,B353,A353))</f>
        <v/>
      </c>
    </row>
    <row r="354" spans="1:2">
      <c r="A354" t="str">
        <f>IF(livegame!$V$21,"",IF(A354&lt;&gt;"",A354,IF(AND(livegame!$T$20,livegame!$U$20&lt;&gt;"",B354="",B353&lt;&gt;""),livegame!$U$20,"")))</f>
        <v/>
      </c>
      <c r="B354" t="str">
        <f>IF(livegame!$V$21,"",IF(livegame!$T$20,B354,A354))</f>
        <v/>
      </c>
    </row>
    <row r="355" spans="1:2">
      <c r="A355" t="str">
        <f>IF(livegame!$V$21,"",IF(A355&lt;&gt;"",A355,IF(AND(livegame!$T$20,livegame!$U$20&lt;&gt;"",B355="",B354&lt;&gt;""),livegame!$U$20,"")))</f>
        <v/>
      </c>
      <c r="B355" t="str">
        <f>IF(livegame!$V$21,"",IF(livegame!$T$20,B355,A355))</f>
        <v/>
      </c>
    </row>
    <row r="356" spans="1:2">
      <c r="A356" t="str">
        <f>IF(livegame!$V$21,"",IF(A356&lt;&gt;"",A356,IF(AND(livegame!$T$20,livegame!$U$20&lt;&gt;"",B356="",B355&lt;&gt;""),livegame!$U$20,"")))</f>
        <v/>
      </c>
      <c r="B356" t="str">
        <f>IF(livegame!$V$21,"",IF(livegame!$T$20,B356,A356))</f>
        <v/>
      </c>
    </row>
    <row r="357" spans="1:2">
      <c r="A357" t="str">
        <f>IF(livegame!$V$21,"",IF(A357&lt;&gt;"",A357,IF(AND(livegame!$T$20,livegame!$U$20&lt;&gt;"",B357="",B356&lt;&gt;""),livegame!$U$20,"")))</f>
        <v/>
      </c>
      <c r="B357" t="str">
        <f>IF(livegame!$V$21,"",IF(livegame!$T$20,B357,A357))</f>
        <v/>
      </c>
    </row>
    <row r="358" spans="1:2">
      <c r="A358" t="str">
        <f>IF(livegame!$V$21,"",IF(A358&lt;&gt;"",A358,IF(AND(livegame!$T$20,livegame!$U$20&lt;&gt;"",B358="",B357&lt;&gt;""),livegame!$U$20,"")))</f>
        <v/>
      </c>
      <c r="B358" t="str">
        <f>IF(livegame!$V$21,"",IF(livegame!$T$20,B358,A358))</f>
        <v/>
      </c>
    </row>
    <row r="359" spans="1:2">
      <c r="A359" t="str">
        <f>IF(livegame!$V$21,"",IF(A359&lt;&gt;"",A359,IF(AND(livegame!$T$20,livegame!$U$20&lt;&gt;"",B359="",B358&lt;&gt;""),livegame!$U$20,"")))</f>
        <v/>
      </c>
      <c r="B359" t="str">
        <f>IF(livegame!$V$21,"",IF(livegame!$T$20,B359,A359))</f>
        <v/>
      </c>
    </row>
    <row r="360" spans="1:2">
      <c r="A360" t="str">
        <f>IF(livegame!$V$21,"",IF(A360&lt;&gt;"",A360,IF(AND(livegame!$T$20,livegame!$U$20&lt;&gt;"",B360="",B359&lt;&gt;""),livegame!$U$20,"")))</f>
        <v/>
      </c>
      <c r="B360" t="str">
        <f>IF(livegame!$V$21,"",IF(livegame!$T$20,B360,A360))</f>
        <v/>
      </c>
    </row>
    <row r="361" spans="1:2">
      <c r="A361" t="str">
        <f>IF(livegame!$V$21,"",IF(A361&lt;&gt;"",A361,IF(AND(livegame!$T$20,livegame!$U$20&lt;&gt;"",B361="",B360&lt;&gt;""),livegame!$U$20,"")))</f>
        <v/>
      </c>
      <c r="B361" t="str">
        <f>IF(livegame!$V$21,"",IF(livegame!$T$20,B361,A361))</f>
        <v/>
      </c>
    </row>
    <row r="362" spans="1:2">
      <c r="A362" t="str">
        <f>IF(livegame!$V$21,"",IF(A362&lt;&gt;"",A362,IF(AND(livegame!$T$20,livegame!$U$20&lt;&gt;"",B362="",B361&lt;&gt;""),livegame!$U$20,"")))</f>
        <v/>
      </c>
      <c r="B362" t="str">
        <f>IF(livegame!$V$21,"",IF(livegame!$T$20,B362,A362))</f>
        <v/>
      </c>
    </row>
    <row r="363" spans="1:2">
      <c r="A363" t="str">
        <f>IF(livegame!$V$21,"",IF(A363&lt;&gt;"",A363,IF(AND(livegame!$T$20,livegame!$U$20&lt;&gt;"",B363="",B362&lt;&gt;""),livegame!$U$20,"")))</f>
        <v/>
      </c>
      <c r="B363" t="str">
        <f>IF(livegame!$V$21,"",IF(livegame!$T$20,B363,A363))</f>
        <v/>
      </c>
    </row>
    <row r="364" spans="1:2">
      <c r="A364" t="str">
        <f>IF(livegame!$V$21,"",IF(A364&lt;&gt;"",A364,IF(AND(livegame!$T$20,livegame!$U$20&lt;&gt;"",B364="",B363&lt;&gt;""),livegame!$U$20,"")))</f>
        <v/>
      </c>
      <c r="B364" t="str">
        <f>IF(livegame!$V$21,"",IF(livegame!$T$20,B364,A364))</f>
        <v/>
      </c>
    </row>
    <row r="365" spans="1:2">
      <c r="A365" t="str">
        <f>IF(livegame!$V$21,"",IF(A365&lt;&gt;"",A365,IF(AND(livegame!$T$20,livegame!$U$20&lt;&gt;"",B365="",B364&lt;&gt;""),livegame!$U$20,"")))</f>
        <v/>
      </c>
      <c r="B365" t="str">
        <f>IF(livegame!$V$21,"",IF(livegame!$T$20,B365,A365))</f>
        <v/>
      </c>
    </row>
    <row r="366" spans="1:2">
      <c r="A366" t="str">
        <f>IF(livegame!$V$21,"",IF(A366&lt;&gt;"",A366,IF(AND(livegame!$T$20,livegame!$U$20&lt;&gt;"",B366="",B365&lt;&gt;""),livegame!$U$20,"")))</f>
        <v/>
      </c>
      <c r="B366" t="str">
        <f>IF(livegame!$V$21,"",IF(livegame!$T$20,B366,A366))</f>
        <v/>
      </c>
    </row>
    <row r="367" spans="1:2">
      <c r="A367" t="str">
        <f>IF(livegame!$V$21,"",IF(A367&lt;&gt;"",A367,IF(AND(livegame!$T$20,livegame!$U$20&lt;&gt;"",B367="",B366&lt;&gt;""),livegame!$U$20,"")))</f>
        <v/>
      </c>
      <c r="B367" t="str">
        <f>IF(livegame!$V$21,"",IF(livegame!$T$20,B367,A367))</f>
        <v/>
      </c>
    </row>
    <row r="368" spans="1:2">
      <c r="A368" t="str">
        <f>IF(livegame!$V$21,"",IF(A368&lt;&gt;"",A368,IF(AND(livegame!$T$20,livegame!$U$20&lt;&gt;"",B368="",B367&lt;&gt;""),livegame!$U$20,"")))</f>
        <v/>
      </c>
      <c r="B368" t="str">
        <f>IF(livegame!$V$21,"",IF(livegame!$T$20,B368,A368))</f>
        <v/>
      </c>
    </row>
    <row r="369" spans="1:2">
      <c r="A369" t="str">
        <f>IF(livegame!$V$21,"",IF(A369&lt;&gt;"",A369,IF(AND(livegame!$T$20,livegame!$U$20&lt;&gt;"",B369="",B368&lt;&gt;""),livegame!$U$20,"")))</f>
        <v/>
      </c>
      <c r="B369" t="str">
        <f>IF(livegame!$V$21,"",IF(livegame!$T$20,B369,A369))</f>
        <v/>
      </c>
    </row>
    <row r="370" spans="1:2">
      <c r="A370" t="str">
        <f>IF(livegame!$V$21,"",IF(A370&lt;&gt;"",A370,IF(AND(livegame!$T$20,livegame!$U$20&lt;&gt;"",B370="",B369&lt;&gt;""),livegame!$U$20,"")))</f>
        <v/>
      </c>
      <c r="B370" t="str">
        <f>IF(livegame!$V$21,"",IF(livegame!$T$20,B370,A370))</f>
        <v/>
      </c>
    </row>
    <row r="371" spans="1:2">
      <c r="A371" t="str">
        <f>IF(livegame!$V$21,"",IF(A371&lt;&gt;"",A371,IF(AND(livegame!$T$20,livegame!$U$20&lt;&gt;"",B371="",B370&lt;&gt;""),livegame!$U$20,"")))</f>
        <v/>
      </c>
      <c r="B371" t="str">
        <f>IF(livegame!$V$21,"",IF(livegame!$T$20,B371,A371))</f>
        <v/>
      </c>
    </row>
    <row r="372" spans="1:2">
      <c r="A372" t="str">
        <f>IF(livegame!$V$21,"",IF(A372&lt;&gt;"",A372,IF(AND(livegame!$T$20,livegame!$U$20&lt;&gt;"",B372="",B371&lt;&gt;""),livegame!$U$20,"")))</f>
        <v/>
      </c>
      <c r="B372" t="str">
        <f>IF(livegame!$V$21,"",IF(livegame!$T$20,B372,A372))</f>
        <v/>
      </c>
    </row>
    <row r="373" spans="1:2">
      <c r="A373" t="str">
        <f>IF(livegame!$V$21,"",IF(A373&lt;&gt;"",A373,IF(AND(livegame!$T$20,livegame!$U$20&lt;&gt;"",B373="",B372&lt;&gt;""),livegame!$U$20,"")))</f>
        <v/>
      </c>
      <c r="B373" t="str">
        <f>IF(livegame!$V$21,"",IF(livegame!$T$20,B373,A373))</f>
        <v/>
      </c>
    </row>
    <row r="374" spans="1:2">
      <c r="A374" t="str">
        <f>IF(livegame!$V$21,"",IF(A374&lt;&gt;"",A374,IF(AND(livegame!$T$20,livegame!$U$20&lt;&gt;"",B374="",B373&lt;&gt;""),livegame!$U$20,"")))</f>
        <v/>
      </c>
      <c r="B374" t="str">
        <f>IF(livegame!$V$21,"",IF(livegame!$T$20,B374,A374))</f>
        <v/>
      </c>
    </row>
    <row r="375" spans="1:2">
      <c r="A375" t="str">
        <f>IF(livegame!$V$21,"",IF(A375&lt;&gt;"",A375,IF(AND(livegame!$T$20,livegame!$U$20&lt;&gt;"",B375="",B374&lt;&gt;""),livegame!$U$20,"")))</f>
        <v/>
      </c>
      <c r="B375" t="str">
        <f>IF(livegame!$V$21,"",IF(livegame!$T$20,B375,A375))</f>
        <v/>
      </c>
    </row>
    <row r="376" spans="1:2">
      <c r="A376" t="str">
        <f>IF(livegame!$V$21,"",IF(A376&lt;&gt;"",A376,IF(AND(livegame!$T$20,livegame!$U$20&lt;&gt;"",B376="",B375&lt;&gt;""),livegame!$U$20,"")))</f>
        <v/>
      </c>
      <c r="B376" t="str">
        <f>IF(livegame!$V$21,"",IF(livegame!$T$20,B376,A376))</f>
        <v/>
      </c>
    </row>
    <row r="377" spans="1:2">
      <c r="A377" t="str">
        <f>IF(livegame!$V$21,"",IF(A377&lt;&gt;"",A377,IF(AND(livegame!$T$20,livegame!$U$20&lt;&gt;"",B377="",B376&lt;&gt;""),livegame!$U$20,"")))</f>
        <v/>
      </c>
      <c r="B377" t="str">
        <f>IF(livegame!$V$21,"",IF(livegame!$T$20,B377,A377))</f>
        <v/>
      </c>
    </row>
    <row r="378" spans="1:2">
      <c r="A378" t="str">
        <f>IF(livegame!$V$21,"",IF(A378&lt;&gt;"",A378,IF(AND(livegame!$T$20,livegame!$U$20&lt;&gt;"",B378="",B377&lt;&gt;""),livegame!$U$20,"")))</f>
        <v/>
      </c>
      <c r="B378" t="str">
        <f>IF(livegame!$V$21,"",IF(livegame!$T$20,B378,A378))</f>
        <v/>
      </c>
    </row>
    <row r="379" spans="1:2">
      <c r="A379" t="str">
        <f>IF(livegame!$V$21,"",IF(A379&lt;&gt;"",A379,IF(AND(livegame!$T$20,livegame!$U$20&lt;&gt;"",B379="",B378&lt;&gt;""),livegame!$U$20,"")))</f>
        <v/>
      </c>
      <c r="B379" t="str">
        <f>IF(livegame!$V$21,"",IF(livegame!$T$20,B379,A379))</f>
        <v/>
      </c>
    </row>
    <row r="380" spans="1:2">
      <c r="A380" t="str">
        <f>IF(livegame!$V$21,"",IF(A380&lt;&gt;"",A380,IF(AND(livegame!$T$20,livegame!$U$20&lt;&gt;"",B380="",B379&lt;&gt;""),livegame!$U$20,"")))</f>
        <v/>
      </c>
      <c r="B380" t="str">
        <f>IF(livegame!$V$21,"",IF(livegame!$T$20,B380,A380))</f>
        <v/>
      </c>
    </row>
    <row r="381" spans="1:2">
      <c r="A381" t="str">
        <f>IF(livegame!$V$21,"",IF(A381&lt;&gt;"",A381,IF(AND(livegame!$T$20,livegame!$U$20&lt;&gt;"",B381="",B380&lt;&gt;""),livegame!$U$20,"")))</f>
        <v/>
      </c>
      <c r="B381" t="str">
        <f>IF(livegame!$V$21,"",IF(livegame!$T$20,B381,A381))</f>
        <v/>
      </c>
    </row>
    <row r="382" spans="1:2">
      <c r="A382" t="str">
        <f>IF(livegame!$V$21,"",IF(A382&lt;&gt;"",A382,IF(AND(livegame!$T$20,livegame!$U$20&lt;&gt;"",B382="",B381&lt;&gt;""),livegame!$U$20,"")))</f>
        <v/>
      </c>
      <c r="B382" t="str">
        <f>IF(livegame!$V$21,"",IF(livegame!$T$20,B382,A382))</f>
        <v/>
      </c>
    </row>
    <row r="383" spans="1:2">
      <c r="A383" t="str">
        <f>IF(livegame!$V$21,"",IF(A383&lt;&gt;"",A383,IF(AND(livegame!$T$20,livegame!$U$20&lt;&gt;"",B383="",B382&lt;&gt;""),livegame!$U$20,"")))</f>
        <v/>
      </c>
      <c r="B383" t="str">
        <f>IF(livegame!$V$21,"",IF(livegame!$T$20,B383,A383))</f>
        <v/>
      </c>
    </row>
    <row r="384" spans="1:2">
      <c r="A384" t="str">
        <f>IF(livegame!$V$21,"",IF(A384&lt;&gt;"",A384,IF(AND(livegame!$T$20,livegame!$U$20&lt;&gt;"",B384="",B383&lt;&gt;""),livegame!$U$20,"")))</f>
        <v/>
      </c>
      <c r="B384" t="str">
        <f>IF(livegame!$V$21,"",IF(livegame!$T$20,B384,A384))</f>
        <v/>
      </c>
    </row>
    <row r="385" spans="1:2">
      <c r="A385" t="str">
        <f>IF(livegame!$V$21,"",IF(A385&lt;&gt;"",A385,IF(AND(livegame!$T$20,livegame!$U$20&lt;&gt;"",B385="",B384&lt;&gt;""),livegame!$U$20,"")))</f>
        <v/>
      </c>
      <c r="B385" t="str">
        <f>IF(livegame!$V$21,"",IF(livegame!$T$20,B385,A385))</f>
        <v/>
      </c>
    </row>
    <row r="386" spans="1:2">
      <c r="A386" t="str">
        <f>IF(livegame!$V$21,"",IF(A386&lt;&gt;"",A386,IF(AND(livegame!$T$20,livegame!$U$20&lt;&gt;"",B386="",B385&lt;&gt;""),livegame!$U$20,"")))</f>
        <v/>
      </c>
      <c r="B386" t="str">
        <f>IF(livegame!$V$21,"",IF(livegame!$T$20,B386,A386))</f>
        <v/>
      </c>
    </row>
    <row r="387" spans="1:2">
      <c r="A387" t="str">
        <f>IF(livegame!$V$21,"",IF(A387&lt;&gt;"",A387,IF(AND(livegame!$T$20,livegame!$U$20&lt;&gt;"",B387="",B386&lt;&gt;""),livegame!$U$20,"")))</f>
        <v/>
      </c>
      <c r="B387" t="str">
        <f>IF(livegame!$V$21,"",IF(livegame!$T$20,B387,A387))</f>
        <v/>
      </c>
    </row>
    <row r="388" spans="1:2">
      <c r="A388" t="str">
        <f>IF(livegame!$V$21,"",IF(A388&lt;&gt;"",A388,IF(AND(livegame!$T$20,livegame!$U$20&lt;&gt;"",B388="",B387&lt;&gt;""),livegame!$U$20,"")))</f>
        <v/>
      </c>
      <c r="B388" t="str">
        <f>IF(livegame!$V$21,"",IF(livegame!$T$20,B388,A388))</f>
        <v/>
      </c>
    </row>
    <row r="389" spans="1:2">
      <c r="A389" t="str">
        <f>IF(livegame!$V$21,"",IF(A389&lt;&gt;"",A389,IF(AND(livegame!$T$20,livegame!$U$20&lt;&gt;"",B389="",B388&lt;&gt;""),livegame!$U$20,"")))</f>
        <v/>
      </c>
      <c r="B389" t="str">
        <f>IF(livegame!$V$21,"",IF(livegame!$T$20,B389,A389))</f>
        <v/>
      </c>
    </row>
    <row r="390" spans="1:2">
      <c r="A390" t="str">
        <f>IF(livegame!$V$21,"",IF(A390&lt;&gt;"",A390,IF(AND(livegame!$T$20,livegame!$U$20&lt;&gt;"",B390="",B389&lt;&gt;""),livegame!$U$20,"")))</f>
        <v/>
      </c>
      <c r="B390" t="str">
        <f>IF(livegame!$V$21,"",IF(livegame!$T$20,B390,A390))</f>
        <v/>
      </c>
    </row>
    <row r="391" spans="1:2">
      <c r="A391" t="str">
        <f>IF(livegame!$V$21,"",IF(A391&lt;&gt;"",A391,IF(AND(livegame!$T$20,livegame!$U$20&lt;&gt;"",B391="",B390&lt;&gt;""),livegame!$U$20,"")))</f>
        <v/>
      </c>
      <c r="B391" t="str">
        <f>IF(livegame!$V$21,"",IF(livegame!$T$20,B391,A391))</f>
        <v/>
      </c>
    </row>
    <row r="392" spans="1:2">
      <c r="A392" t="str">
        <f>IF(livegame!$V$21,"",IF(A392&lt;&gt;"",A392,IF(AND(livegame!$T$20,livegame!$U$20&lt;&gt;"",B392="",B391&lt;&gt;""),livegame!$U$20,"")))</f>
        <v/>
      </c>
      <c r="B392" t="str">
        <f>IF(livegame!$V$21,"",IF(livegame!$T$20,B392,A392))</f>
        <v/>
      </c>
    </row>
    <row r="393" spans="1:2">
      <c r="A393" t="str">
        <f>IF(livegame!$V$21,"",IF(A393&lt;&gt;"",A393,IF(AND(livegame!$T$20,livegame!$U$20&lt;&gt;"",B393="",B392&lt;&gt;""),livegame!$U$20,"")))</f>
        <v/>
      </c>
      <c r="B393" t="str">
        <f>IF(livegame!$V$21,"",IF(livegame!$T$20,B393,A393))</f>
        <v/>
      </c>
    </row>
    <row r="394" spans="1:2">
      <c r="A394" t="str">
        <f>IF(livegame!$V$21,"",IF(A394&lt;&gt;"",A394,IF(AND(livegame!$T$20,livegame!$U$20&lt;&gt;"",B394="",B393&lt;&gt;""),livegame!$U$20,"")))</f>
        <v/>
      </c>
      <c r="B394" t="str">
        <f>IF(livegame!$V$21,"",IF(livegame!$T$20,B394,A394))</f>
        <v/>
      </c>
    </row>
    <row r="395" spans="1:2">
      <c r="A395" t="str">
        <f>IF(livegame!$V$21,"",IF(A395&lt;&gt;"",A395,IF(AND(livegame!$T$20,livegame!$U$20&lt;&gt;"",B395="",B394&lt;&gt;""),livegame!$U$20,"")))</f>
        <v/>
      </c>
      <c r="B395" t="str">
        <f>IF(livegame!$V$21,"",IF(livegame!$T$20,B395,A395))</f>
        <v/>
      </c>
    </row>
    <row r="396" spans="1:2">
      <c r="A396" t="str">
        <f>IF(livegame!$V$21,"",IF(A396&lt;&gt;"",A396,IF(AND(livegame!$T$20,livegame!$U$20&lt;&gt;"",B396="",B395&lt;&gt;""),livegame!$U$20,"")))</f>
        <v/>
      </c>
      <c r="B396" t="str">
        <f>IF(livegame!$V$21,"",IF(livegame!$T$20,B396,A396))</f>
        <v/>
      </c>
    </row>
    <row r="397" spans="1:2">
      <c r="A397" t="str">
        <f>IF(livegame!$V$21,"",IF(A397&lt;&gt;"",A397,IF(AND(livegame!$T$20,livegame!$U$20&lt;&gt;"",B397="",B396&lt;&gt;""),livegame!$U$20,"")))</f>
        <v/>
      </c>
      <c r="B397" t="str">
        <f>IF(livegame!$V$21,"",IF(livegame!$T$20,B397,A397))</f>
        <v/>
      </c>
    </row>
    <row r="398" spans="1:2">
      <c r="A398" t="str">
        <f>IF(livegame!$V$21,"",IF(A398&lt;&gt;"",A398,IF(AND(livegame!$T$20,livegame!$U$20&lt;&gt;"",B398="",B397&lt;&gt;""),livegame!$U$20,"")))</f>
        <v/>
      </c>
      <c r="B398" t="str">
        <f>IF(livegame!$V$21,"",IF(livegame!$T$20,B398,A398))</f>
        <v/>
      </c>
    </row>
    <row r="399" spans="1:2">
      <c r="A399" t="str">
        <f>IF(livegame!$V$21,"",IF(A399&lt;&gt;"",A399,IF(AND(livegame!$T$20,livegame!$U$20&lt;&gt;"",B399="",B398&lt;&gt;""),livegame!$U$20,"")))</f>
        <v/>
      </c>
      <c r="B399" t="str">
        <f>IF(livegame!$V$21,"",IF(livegame!$T$20,B399,A399))</f>
        <v/>
      </c>
    </row>
    <row r="400" spans="1:2">
      <c r="A400" t="str">
        <f>IF(livegame!$V$21,"",IF(A400&lt;&gt;"",A400,IF(AND(livegame!$T$20,livegame!$U$20&lt;&gt;"",B400="",B399&lt;&gt;""),livegame!$U$20,"")))</f>
        <v/>
      </c>
      <c r="B400" t="str">
        <f>IF(livegame!$V$21,"",IF(livegame!$T$20,B400,A400))</f>
        <v/>
      </c>
    </row>
    <row r="401" spans="1:2">
      <c r="A401" t="str">
        <f>IF(livegame!$V$21,"",IF(A401&lt;&gt;"",A401,IF(AND(livegame!$T$20,livegame!$U$20&lt;&gt;"",B401="",B400&lt;&gt;""),livegame!$U$20,"")))</f>
        <v/>
      </c>
      <c r="B401" t="str">
        <f>IF(livegame!$V$21,"",IF(livegame!$T$20,B401,A401))</f>
        <v/>
      </c>
    </row>
    <row r="402" spans="1:2">
      <c r="A402" t="str">
        <f>IF(livegame!$V$21,"",IF(A402&lt;&gt;"",A402,IF(AND(livegame!$T$20,livegame!$U$20&lt;&gt;"",B402="",B401&lt;&gt;""),livegame!$U$20,"")))</f>
        <v/>
      </c>
      <c r="B402" t="str">
        <f>IF(livegame!$V$21,"",IF(livegame!$T$20,B402,A402))</f>
        <v/>
      </c>
    </row>
    <row r="403" spans="1:2">
      <c r="A403" t="str">
        <f>IF(livegame!$V$21,"",IF(A403&lt;&gt;"",A403,IF(AND(livegame!$T$20,livegame!$U$20&lt;&gt;"",B403="",B402&lt;&gt;""),livegame!$U$20,"")))</f>
        <v/>
      </c>
      <c r="B403" t="str">
        <f>IF(livegame!$V$21,"",IF(livegame!$T$20,B403,A403))</f>
        <v/>
      </c>
    </row>
    <row r="404" spans="1:2">
      <c r="A404" t="str">
        <f>IF(livegame!$V$21,"",IF(A404&lt;&gt;"",A404,IF(AND(livegame!$T$20,livegame!$U$20&lt;&gt;"",B404="",B403&lt;&gt;""),livegame!$U$20,"")))</f>
        <v/>
      </c>
      <c r="B404" t="str">
        <f>IF(livegame!$V$21,"",IF(livegame!$T$20,B404,A404))</f>
        <v/>
      </c>
    </row>
    <row r="405" spans="1:2">
      <c r="A405" t="str">
        <f>IF(livegame!$V$21,"",IF(A405&lt;&gt;"",A405,IF(AND(livegame!$T$20,livegame!$U$20&lt;&gt;"",B405="",B404&lt;&gt;""),livegame!$U$20,"")))</f>
        <v/>
      </c>
      <c r="B405" t="str">
        <f>IF(livegame!$V$21,"",IF(livegame!$T$20,B405,A405))</f>
        <v/>
      </c>
    </row>
    <row r="406" spans="1:2">
      <c r="A406" t="str">
        <f>IF(livegame!$V$21,"",IF(A406&lt;&gt;"",A406,IF(AND(livegame!$T$20,livegame!$U$20&lt;&gt;"",B406="",B405&lt;&gt;""),livegame!$U$20,"")))</f>
        <v/>
      </c>
      <c r="B406" t="str">
        <f>IF(livegame!$V$21,"",IF(livegame!$T$20,B406,A406))</f>
        <v/>
      </c>
    </row>
    <row r="407" spans="1:2">
      <c r="A407" t="str">
        <f>IF(livegame!$V$21,"",IF(A407&lt;&gt;"",A407,IF(AND(livegame!$T$20,livegame!$U$20&lt;&gt;"",B407="",B406&lt;&gt;""),livegame!$U$20,"")))</f>
        <v/>
      </c>
      <c r="B407" t="str">
        <f>IF(livegame!$V$21,"",IF(livegame!$T$20,B407,A407))</f>
        <v/>
      </c>
    </row>
    <row r="408" spans="1:2">
      <c r="A408" t="str">
        <f>IF(livegame!$V$21,"",IF(A408&lt;&gt;"",A408,IF(AND(livegame!$T$20,livegame!$U$20&lt;&gt;"",B408="",B407&lt;&gt;""),livegame!$U$20,"")))</f>
        <v/>
      </c>
      <c r="B408" t="str">
        <f>IF(livegame!$V$21,"",IF(livegame!$T$20,B408,A408))</f>
        <v/>
      </c>
    </row>
    <row r="409" spans="1:2">
      <c r="A409" t="str">
        <f>IF(livegame!$V$21,"",IF(A409&lt;&gt;"",A409,IF(AND(livegame!$T$20,livegame!$U$20&lt;&gt;"",B409="",B408&lt;&gt;""),livegame!$U$20,"")))</f>
        <v/>
      </c>
      <c r="B409" t="str">
        <f>IF(livegame!$V$21,"",IF(livegame!$T$20,B409,A409))</f>
        <v/>
      </c>
    </row>
    <row r="410" spans="1:2">
      <c r="A410" t="str">
        <f>IF(livegame!$V$21,"",IF(A410&lt;&gt;"",A410,IF(AND(livegame!$T$20,livegame!$U$20&lt;&gt;"",B410="",B409&lt;&gt;""),livegame!$U$20,"")))</f>
        <v/>
      </c>
      <c r="B410" t="str">
        <f>IF(livegame!$V$21,"",IF(livegame!$T$20,B410,A410))</f>
        <v/>
      </c>
    </row>
    <row r="411" spans="1:2">
      <c r="A411" t="str">
        <f>IF(livegame!$V$21,"",IF(A411&lt;&gt;"",A411,IF(AND(livegame!$T$20,livegame!$U$20&lt;&gt;"",B411="",B410&lt;&gt;""),livegame!$U$20,"")))</f>
        <v/>
      </c>
      <c r="B411" t="str">
        <f>IF(livegame!$V$21,"",IF(livegame!$T$20,B411,A411))</f>
        <v/>
      </c>
    </row>
    <row r="412" spans="1:2">
      <c r="A412" t="str">
        <f>IF(livegame!$V$21,"",IF(A412&lt;&gt;"",A412,IF(AND(livegame!$T$20,livegame!$U$20&lt;&gt;"",B412="",B411&lt;&gt;""),livegame!$U$20,"")))</f>
        <v/>
      </c>
      <c r="B412" t="str">
        <f>IF(livegame!$V$21,"",IF(livegame!$T$20,B412,A412))</f>
        <v/>
      </c>
    </row>
    <row r="413" spans="1:2">
      <c r="A413" t="str">
        <f>IF(livegame!$V$21,"",IF(A413&lt;&gt;"",A413,IF(AND(livegame!$T$20,livegame!$U$20&lt;&gt;"",B413="",B412&lt;&gt;""),livegame!$U$20,"")))</f>
        <v/>
      </c>
      <c r="B413" t="str">
        <f>IF(livegame!$V$21,"",IF(livegame!$T$20,B413,A413))</f>
        <v/>
      </c>
    </row>
    <row r="414" spans="1:2">
      <c r="A414" t="str">
        <f>IF(livegame!$V$21,"",IF(A414&lt;&gt;"",A414,IF(AND(livegame!$T$20,livegame!$U$20&lt;&gt;"",B414="",B413&lt;&gt;""),livegame!$U$20,"")))</f>
        <v/>
      </c>
      <c r="B414" t="str">
        <f>IF(livegame!$V$21,"",IF(livegame!$T$20,B414,A414))</f>
        <v/>
      </c>
    </row>
    <row r="415" spans="1:2">
      <c r="A415" t="str">
        <f>IF(livegame!$V$21,"",IF(A415&lt;&gt;"",A415,IF(AND(livegame!$T$20,livegame!$U$20&lt;&gt;"",B415="",B414&lt;&gt;""),livegame!$U$20,"")))</f>
        <v/>
      </c>
      <c r="B415" t="str">
        <f>IF(livegame!$V$21,"",IF(livegame!$T$20,B415,A415))</f>
        <v/>
      </c>
    </row>
    <row r="416" spans="1:2">
      <c r="A416" t="str">
        <f>IF(livegame!$V$21,"",IF(A416&lt;&gt;"",A416,IF(AND(livegame!$T$20,livegame!$U$20&lt;&gt;"",B416="",B415&lt;&gt;""),livegame!$U$20,"")))</f>
        <v/>
      </c>
      <c r="B416" t="str">
        <f>IF(livegame!$V$21,"",IF(livegame!$T$20,B416,A416))</f>
        <v/>
      </c>
    </row>
    <row r="417" spans="1:2">
      <c r="A417" t="str">
        <f>IF(livegame!$V$21,"",IF(A417&lt;&gt;"",A417,IF(AND(livegame!$T$20,livegame!$U$20&lt;&gt;"",B417="",B416&lt;&gt;""),livegame!$U$20,"")))</f>
        <v/>
      </c>
      <c r="B417" t="str">
        <f>IF(livegame!$V$21,"",IF(livegame!$T$20,B417,A417))</f>
        <v/>
      </c>
    </row>
    <row r="418" spans="1:2">
      <c r="A418" t="str">
        <f>IF(livegame!$V$21,"",IF(A418&lt;&gt;"",A418,IF(AND(livegame!$T$20,livegame!$U$20&lt;&gt;"",B418="",B417&lt;&gt;""),livegame!$U$20,"")))</f>
        <v/>
      </c>
      <c r="B418" t="str">
        <f>IF(livegame!$V$21,"",IF(livegame!$T$20,B418,A418))</f>
        <v/>
      </c>
    </row>
    <row r="419" spans="1:2">
      <c r="A419" t="str">
        <f>IF(livegame!$V$21,"",IF(A419&lt;&gt;"",A419,IF(AND(livegame!$T$20,livegame!$U$20&lt;&gt;"",B419="",B418&lt;&gt;""),livegame!$U$20,"")))</f>
        <v/>
      </c>
      <c r="B419" t="str">
        <f>IF(livegame!$V$21,"",IF(livegame!$T$20,B419,A419))</f>
        <v/>
      </c>
    </row>
    <row r="420" spans="1:2">
      <c r="A420" t="str">
        <f>IF(livegame!$V$21,"",IF(A420&lt;&gt;"",A420,IF(AND(livegame!$T$20,livegame!$U$20&lt;&gt;"",B420="",B419&lt;&gt;""),livegame!$U$20,"")))</f>
        <v/>
      </c>
      <c r="B420" t="str">
        <f>IF(livegame!$V$21,"",IF(livegame!$T$20,B420,A420))</f>
        <v/>
      </c>
    </row>
    <row r="421" spans="1:2">
      <c r="A421" t="str">
        <f>IF(livegame!$V$21,"",IF(A421&lt;&gt;"",A421,IF(AND(livegame!$T$20,livegame!$U$20&lt;&gt;"",B421="",B420&lt;&gt;""),livegame!$U$20,"")))</f>
        <v/>
      </c>
      <c r="B421" t="str">
        <f>IF(livegame!$V$21,"",IF(livegame!$T$20,B421,A421))</f>
        <v/>
      </c>
    </row>
    <row r="422" spans="1:2">
      <c r="A422" t="str">
        <f>IF(livegame!$V$21,"",IF(A422&lt;&gt;"",A422,IF(AND(livegame!$T$20,livegame!$U$20&lt;&gt;"",B422="",B421&lt;&gt;""),livegame!$U$20,"")))</f>
        <v/>
      </c>
      <c r="B422" t="str">
        <f>IF(livegame!$V$21,"",IF(livegame!$T$20,B422,A422))</f>
        <v/>
      </c>
    </row>
    <row r="423" spans="1:2">
      <c r="A423" t="str">
        <f>IF(livegame!$V$21,"",IF(A423&lt;&gt;"",A423,IF(AND(livegame!$T$20,livegame!$U$20&lt;&gt;"",B423="",B422&lt;&gt;""),livegame!$U$20,"")))</f>
        <v/>
      </c>
      <c r="B423" t="str">
        <f>IF(livegame!$V$21,"",IF(livegame!$T$20,B423,A423))</f>
        <v/>
      </c>
    </row>
    <row r="424" spans="1:2">
      <c r="A424" t="str">
        <f>IF(livegame!$V$21,"",IF(A424&lt;&gt;"",A424,IF(AND(livegame!$T$20,livegame!$U$20&lt;&gt;"",B424="",B423&lt;&gt;""),livegame!$U$20,"")))</f>
        <v/>
      </c>
      <c r="B424" t="str">
        <f>IF(livegame!$V$21,"",IF(livegame!$T$20,B424,A424))</f>
        <v/>
      </c>
    </row>
    <row r="425" spans="1:2">
      <c r="A425" t="str">
        <f>IF(livegame!$V$21,"",IF(A425&lt;&gt;"",A425,IF(AND(livegame!$T$20,livegame!$U$20&lt;&gt;"",B425="",B424&lt;&gt;""),livegame!$U$20,"")))</f>
        <v/>
      </c>
      <c r="B425" t="str">
        <f>IF(livegame!$V$21,"",IF(livegame!$T$20,B425,A425))</f>
        <v/>
      </c>
    </row>
    <row r="426" spans="1:2">
      <c r="A426" t="str">
        <f>IF(livegame!$V$21,"",IF(A426&lt;&gt;"",A426,IF(AND(livegame!$T$20,livegame!$U$20&lt;&gt;"",B426="",B425&lt;&gt;""),livegame!$U$20,"")))</f>
        <v/>
      </c>
      <c r="B426" t="str">
        <f>IF(livegame!$V$21,"",IF(livegame!$T$20,B426,A426))</f>
        <v/>
      </c>
    </row>
    <row r="427" spans="1:2">
      <c r="A427" t="str">
        <f>IF(livegame!$V$21,"",IF(A427&lt;&gt;"",A427,IF(AND(livegame!$T$20,livegame!$U$20&lt;&gt;"",B427="",B426&lt;&gt;""),livegame!$U$20,"")))</f>
        <v/>
      </c>
      <c r="B427" t="str">
        <f>IF(livegame!$V$21,"",IF(livegame!$T$20,B427,A427))</f>
        <v/>
      </c>
    </row>
    <row r="428" spans="1:2">
      <c r="A428" t="str">
        <f>IF(livegame!$V$21,"",IF(A428&lt;&gt;"",A428,IF(AND(livegame!$T$20,livegame!$U$20&lt;&gt;"",B428="",B427&lt;&gt;""),livegame!$U$20,"")))</f>
        <v/>
      </c>
      <c r="B428" t="str">
        <f>IF(livegame!$V$21,"",IF(livegame!$T$20,B428,A428))</f>
        <v/>
      </c>
    </row>
    <row r="429" spans="1:2">
      <c r="A429" t="str">
        <f>IF(livegame!$V$21,"",IF(A429&lt;&gt;"",A429,IF(AND(livegame!$T$20,livegame!$U$20&lt;&gt;"",B429="",B428&lt;&gt;""),livegame!$U$20,"")))</f>
        <v/>
      </c>
      <c r="B429" t="str">
        <f>IF(livegame!$V$21,"",IF(livegame!$T$20,B429,A429))</f>
        <v/>
      </c>
    </row>
    <row r="430" spans="1:2">
      <c r="A430" t="str">
        <f>IF(livegame!$V$21,"",IF(A430&lt;&gt;"",A430,IF(AND(livegame!$T$20,livegame!$U$20&lt;&gt;"",B430="",B429&lt;&gt;""),livegame!$U$20,"")))</f>
        <v/>
      </c>
      <c r="B430" t="str">
        <f>IF(livegame!$V$21,"",IF(livegame!$T$20,B430,A430))</f>
        <v/>
      </c>
    </row>
    <row r="431" spans="1:2">
      <c r="A431" t="str">
        <f>IF(livegame!$V$21,"",IF(A431&lt;&gt;"",A431,IF(AND(livegame!$T$20,livegame!$U$20&lt;&gt;"",B431="",B430&lt;&gt;""),livegame!$U$20,"")))</f>
        <v/>
      </c>
      <c r="B431" t="str">
        <f>IF(livegame!$V$21,"",IF(livegame!$T$20,B431,A431))</f>
        <v/>
      </c>
    </row>
    <row r="432" spans="1:2">
      <c r="A432" t="str">
        <f>IF(livegame!$V$21,"",IF(A432&lt;&gt;"",A432,IF(AND(livegame!$T$20,livegame!$U$20&lt;&gt;"",B432="",B431&lt;&gt;""),livegame!$U$20,"")))</f>
        <v/>
      </c>
      <c r="B432" t="str">
        <f>IF(livegame!$V$21,"",IF(livegame!$T$20,B432,A432))</f>
        <v/>
      </c>
    </row>
    <row r="433" spans="1:2">
      <c r="A433" t="str">
        <f>IF(livegame!$V$21,"",IF(A433&lt;&gt;"",A433,IF(AND(livegame!$T$20,livegame!$U$20&lt;&gt;"",B433="",B432&lt;&gt;""),livegame!$U$20,"")))</f>
        <v/>
      </c>
      <c r="B433" t="str">
        <f>IF(livegame!$V$21,"",IF(livegame!$T$20,B433,A433))</f>
        <v/>
      </c>
    </row>
    <row r="434" spans="1:2">
      <c r="A434" t="str">
        <f>IF(livegame!$V$21,"",IF(A434&lt;&gt;"",A434,IF(AND(livegame!$T$20,livegame!$U$20&lt;&gt;"",B434="",B433&lt;&gt;""),livegame!$U$20,"")))</f>
        <v/>
      </c>
      <c r="B434" t="str">
        <f>IF(livegame!$V$21,"",IF(livegame!$T$20,B434,A434))</f>
        <v/>
      </c>
    </row>
    <row r="435" spans="1:2">
      <c r="A435" t="str">
        <f>IF(livegame!$V$21,"",IF(A435&lt;&gt;"",A435,IF(AND(livegame!$T$20,livegame!$U$20&lt;&gt;"",B435="",B434&lt;&gt;""),livegame!$U$20,"")))</f>
        <v/>
      </c>
      <c r="B435" t="str">
        <f>IF(livegame!$V$21,"",IF(livegame!$T$20,B435,A435))</f>
        <v/>
      </c>
    </row>
    <row r="436" spans="1:2">
      <c r="A436" t="str">
        <f>IF(livegame!$V$21,"",IF(A436&lt;&gt;"",A436,IF(AND(livegame!$T$20,livegame!$U$20&lt;&gt;"",B436="",B435&lt;&gt;""),livegame!$U$20,"")))</f>
        <v/>
      </c>
      <c r="B436" t="str">
        <f>IF(livegame!$V$21,"",IF(livegame!$T$20,B436,A436))</f>
        <v/>
      </c>
    </row>
    <row r="437" spans="1:2">
      <c r="A437" t="str">
        <f>IF(livegame!$V$21,"",IF(A437&lt;&gt;"",A437,IF(AND(livegame!$T$20,livegame!$U$20&lt;&gt;"",B437="",B436&lt;&gt;""),livegame!$U$20,"")))</f>
        <v/>
      </c>
      <c r="B437" t="str">
        <f>IF(livegame!$V$21,"",IF(livegame!$T$20,B437,A437))</f>
        <v/>
      </c>
    </row>
    <row r="438" spans="1:2">
      <c r="A438" t="str">
        <f>IF(livegame!$V$21,"",IF(A438&lt;&gt;"",A438,IF(AND(livegame!$T$20,livegame!$U$20&lt;&gt;"",B438="",B437&lt;&gt;""),livegame!$U$20,"")))</f>
        <v/>
      </c>
      <c r="B438" t="str">
        <f>IF(livegame!$V$21,"",IF(livegame!$T$20,B438,A438))</f>
        <v/>
      </c>
    </row>
    <row r="439" spans="1:2">
      <c r="A439" t="str">
        <f>IF(livegame!$V$21,"",IF(A439&lt;&gt;"",A439,IF(AND(livegame!$T$20,livegame!$U$20&lt;&gt;"",B439="",B438&lt;&gt;""),livegame!$U$20,"")))</f>
        <v/>
      </c>
      <c r="B439" t="str">
        <f>IF(livegame!$V$21,"",IF(livegame!$T$20,B439,A439))</f>
        <v/>
      </c>
    </row>
    <row r="440" spans="1:2">
      <c r="A440" t="str">
        <f>IF(livegame!$V$21,"",IF(A440&lt;&gt;"",A440,IF(AND(livegame!$T$20,livegame!$U$20&lt;&gt;"",B440="",B439&lt;&gt;""),livegame!$U$20,"")))</f>
        <v/>
      </c>
      <c r="B440" t="str">
        <f>IF(livegame!$V$21,"",IF(livegame!$T$20,B440,A440))</f>
        <v/>
      </c>
    </row>
    <row r="441" spans="1:2">
      <c r="A441" t="str">
        <f>IF(livegame!$V$21,"",IF(A441&lt;&gt;"",A441,IF(AND(livegame!$T$20,livegame!$U$20&lt;&gt;"",B441="",B440&lt;&gt;""),livegame!$U$20,"")))</f>
        <v/>
      </c>
      <c r="B441" t="str">
        <f>IF(livegame!$V$21,"",IF(livegame!$T$20,B441,A441))</f>
        <v/>
      </c>
    </row>
    <row r="442" spans="1:2">
      <c r="A442" t="str">
        <f>IF(livegame!$V$21,"",IF(A442&lt;&gt;"",A442,IF(AND(livegame!$T$20,livegame!$U$20&lt;&gt;"",B442="",B441&lt;&gt;""),livegame!$U$20,"")))</f>
        <v/>
      </c>
      <c r="B442" t="str">
        <f>IF(livegame!$V$21,"",IF(livegame!$T$20,B442,A442))</f>
        <v/>
      </c>
    </row>
    <row r="443" spans="1:2">
      <c r="A443" t="str">
        <f>IF(livegame!$V$21,"",IF(A443&lt;&gt;"",A443,IF(AND(livegame!$T$20,livegame!$U$20&lt;&gt;"",B443="",B442&lt;&gt;""),livegame!$U$20,"")))</f>
        <v/>
      </c>
      <c r="B443" t="str">
        <f>IF(livegame!$V$21,"",IF(livegame!$T$20,B443,A443))</f>
        <v/>
      </c>
    </row>
    <row r="444" spans="1:2">
      <c r="A444" t="str">
        <f>IF(livegame!$V$21,"",IF(A444&lt;&gt;"",A444,IF(AND(livegame!$T$20,livegame!$U$20&lt;&gt;"",B444="",B443&lt;&gt;""),livegame!$U$20,"")))</f>
        <v/>
      </c>
      <c r="B444" t="str">
        <f>IF(livegame!$V$21,"",IF(livegame!$T$20,B444,A444))</f>
        <v/>
      </c>
    </row>
    <row r="445" spans="1:2">
      <c r="A445" t="str">
        <f>IF(livegame!$V$21,"",IF(A445&lt;&gt;"",A445,IF(AND(livegame!$T$20,livegame!$U$20&lt;&gt;"",B445="",B444&lt;&gt;""),livegame!$U$20,"")))</f>
        <v/>
      </c>
      <c r="B445" t="str">
        <f>IF(livegame!$V$21,"",IF(livegame!$T$20,B445,A445))</f>
        <v/>
      </c>
    </row>
    <row r="446" spans="1:2">
      <c r="A446" t="str">
        <f>IF(livegame!$V$21,"",IF(A446&lt;&gt;"",A446,IF(AND(livegame!$T$20,livegame!$U$20&lt;&gt;"",B446="",B445&lt;&gt;""),livegame!$U$20,"")))</f>
        <v/>
      </c>
      <c r="B446" t="str">
        <f>IF(livegame!$V$21,"",IF(livegame!$T$20,B446,A446))</f>
        <v/>
      </c>
    </row>
    <row r="447" spans="1:2">
      <c r="A447" t="str">
        <f>IF(livegame!$V$21,"",IF(A447&lt;&gt;"",A447,IF(AND(livegame!$T$20,livegame!$U$20&lt;&gt;"",B447="",B446&lt;&gt;""),livegame!$U$20,"")))</f>
        <v/>
      </c>
      <c r="B447" t="str">
        <f>IF(livegame!$V$21,"",IF(livegame!$T$20,B447,A447))</f>
        <v/>
      </c>
    </row>
    <row r="448" spans="1:2">
      <c r="A448" t="str">
        <f>IF(livegame!$V$21,"",IF(A448&lt;&gt;"",A448,IF(AND(livegame!$T$20,livegame!$U$20&lt;&gt;"",B448="",B447&lt;&gt;""),livegame!$U$20,"")))</f>
        <v/>
      </c>
      <c r="B448" t="str">
        <f>IF(livegame!$V$21,"",IF(livegame!$T$20,B448,A448))</f>
        <v/>
      </c>
    </row>
    <row r="449" spans="1:2">
      <c r="A449" t="str">
        <f>IF(livegame!$V$21,"",IF(A449&lt;&gt;"",A449,IF(AND(livegame!$T$20,livegame!$U$20&lt;&gt;"",B449="",B448&lt;&gt;""),livegame!$U$20,"")))</f>
        <v/>
      </c>
      <c r="B449" t="str">
        <f>IF(livegame!$V$21,"",IF(livegame!$T$20,B449,A449))</f>
        <v/>
      </c>
    </row>
    <row r="450" spans="1:2">
      <c r="A450" t="str">
        <f>IF(livegame!$V$21,"",IF(A450&lt;&gt;"",A450,IF(AND(livegame!$T$20,livegame!$U$20&lt;&gt;"",B450="",B449&lt;&gt;""),livegame!$U$20,"")))</f>
        <v/>
      </c>
      <c r="B450" t="str">
        <f>IF(livegame!$V$21,"",IF(livegame!$T$20,B450,A450))</f>
        <v/>
      </c>
    </row>
    <row r="451" spans="1:2">
      <c r="A451" t="str">
        <f>IF(livegame!$V$21,"",IF(A451&lt;&gt;"",A451,IF(AND(livegame!$T$20,livegame!$U$20&lt;&gt;"",B451="",B450&lt;&gt;""),livegame!$U$20,"")))</f>
        <v/>
      </c>
      <c r="B451" t="str">
        <f>IF(livegame!$V$21,"",IF(livegame!$T$20,B451,A451))</f>
        <v/>
      </c>
    </row>
    <row r="452" spans="1:2">
      <c r="A452" t="str">
        <f>IF(livegame!$V$21,"",IF(A452&lt;&gt;"",A452,IF(AND(livegame!$T$20,livegame!$U$20&lt;&gt;"",B452="",B451&lt;&gt;""),livegame!$U$20,"")))</f>
        <v/>
      </c>
      <c r="B452" t="str">
        <f>IF(livegame!$V$21,"",IF(livegame!$T$20,B452,A452))</f>
        <v/>
      </c>
    </row>
    <row r="453" spans="1:2">
      <c r="A453" t="str">
        <f>IF(livegame!$V$21,"",IF(A453&lt;&gt;"",A453,IF(AND(livegame!$T$20,livegame!$U$20&lt;&gt;"",B453="",B452&lt;&gt;""),livegame!$U$20,"")))</f>
        <v/>
      </c>
      <c r="B453" t="str">
        <f>IF(livegame!$V$21,"",IF(livegame!$T$20,B453,A453))</f>
        <v/>
      </c>
    </row>
    <row r="454" spans="1:2">
      <c r="A454" t="str">
        <f>IF(livegame!$V$21,"",IF(A454&lt;&gt;"",A454,IF(AND(livegame!$T$20,livegame!$U$20&lt;&gt;"",B454="",B453&lt;&gt;""),livegame!$U$20,"")))</f>
        <v/>
      </c>
      <c r="B454" t="str">
        <f>IF(livegame!$V$21,"",IF(livegame!$T$20,B454,A454))</f>
        <v/>
      </c>
    </row>
    <row r="455" spans="1:2">
      <c r="A455" t="str">
        <f>IF(livegame!$V$21,"",IF(A455&lt;&gt;"",A455,IF(AND(livegame!$T$20,livegame!$U$20&lt;&gt;"",B455="",B454&lt;&gt;""),livegame!$U$20,"")))</f>
        <v/>
      </c>
      <c r="B455" t="str">
        <f>IF(livegame!$V$21,"",IF(livegame!$T$20,B455,A455))</f>
        <v/>
      </c>
    </row>
    <row r="456" spans="1:2">
      <c r="A456" t="str">
        <f>IF(livegame!$V$21,"",IF(A456&lt;&gt;"",A456,IF(AND(livegame!$T$20,livegame!$U$20&lt;&gt;"",B456="",B455&lt;&gt;""),livegame!$U$20,"")))</f>
        <v/>
      </c>
      <c r="B456" t="str">
        <f>IF(livegame!$V$21,"",IF(livegame!$T$20,B456,A456))</f>
        <v/>
      </c>
    </row>
    <row r="457" spans="1:2">
      <c r="A457" t="str">
        <f>IF(livegame!$V$21,"",IF(A457&lt;&gt;"",A457,IF(AND(livegame!$T$20,livegame!$U$20&lt;&gt;"",B457="",B456&lt;&gt;""),livegame!$U$20,"")))</f>
        <v/>
      </c>
      <c r="B457" t="str">
        <f>IF(livegame!$V$21,"",IF(livegame!$T$20,B457,A457))</f>
        <v/>
      </c>
    </row>
    <row r="458" spans="1:2">
      <c r="A458" t="str">
        <f>IF(livegame!$V$21,"",IF(A458&lt;&gt;"",A458,IF(AND(livegame!$T$20,livegame!$U$20&lt;&gt;"",B458="",B457&lt;&gt;""),livegame!$U$20,"")))</f>
        <v/>
      </c>
      <c r="B458" t="str">
        <f>IF(livegame!$V$21,"",IF(livegame!$T$20,B458,A458))</f>
        <v/>
      </c>
    </row>
    <row r="459" spans="1:2">
      <c r="A459" t="str">
        <f>IF(livegame!$V$21,"",IF(A459&lt;&gt;"",A459,IF(AND(livegame!$T$20,livegame!$U$20&lt;&gt;"",B459="",B458&lt;&gt;""),livegame!$U$20,"")))</f>
        <v/>
      </c>
      <c r="B459" t="str">
        <f>IF(livegame!$V$21,"",IF(livegame!$T$20,B459,A459))</f>
        <v/>
      </c>
    </row>
    <row r="460" spans="1:2">
      <c r="A460" t="str">
        <f>IF(livegame!$V$21,"",IF(A460&lt;&gt;"",A460,IF(AND(livegame!$T$20,livegame!$U$20&lt;&gt;"",B460="",B459&lt;&gt;""),livegame!$U$20,"")))</f>
        <v/>
      </c>
      <c r="B460" t="str">
        <f>IF(livegame!$V$21,"",IF(livegame!$T$20,B460,A460))</f>
        <v/>
      </c>
    </row>
    <row r="461" spans="1:2">
      <c r="A461" t="str">
        <f>IF(livegame!$V$21,"",IF(A461&lt;&gt;"",A461,IF(AND(livegame!$T$20,livegame!$U$20&lt;&gt;"",B461="",B460&lt;&gt;""),livegame!$U$20,"")))</f>
        <v/>
      </c>
      <c r="B461" t="str">
        <f>IF(livegame!$V$21,"",IF(livegame!$T$20,B461,A461))</f>
        <v/>
      </c>
    </row>
    <row r="462" spans="1:2">
      <c r="A462" t="str">
        <f>IF(livegame!$V$21,"",IF(A462&lt;&gt;"",A462,IF(AND(livegame!$T$20,livegame!$U$20&lt;&gt;"",B462="",B461&lt;&gt;""),livegame!$U$20,"")))</f>
        <v/>
      </c>
      <c r="B462" t="str">
        <f>IF(livegame!$V$21,"",IF(livegame!$T$20,B462,A462))</f>
        <v/>
      </c>
    </row>
    <row r="463" spans="1:2">
      <c r="A463" t="str">
        <f>IF(livegame!$V$21,"",IF(A463&lt;&gt;"",A463,IF(AND(livegame!$T$20,livegame!$U$20&lt;&gt;"",B463="",B462&lt;&gt;""),livegame!$U$20,"")))</f>
        <v/>
      </c>
      <c r="B463" t="str">
        <f>IF(livegame!$V$21,"",IF(livegame!$T$20,B463,A463))</f>
        <v/>
      </c>
    </row>
    <row r="464" spans="1:2">
      <c r="A464" t="str">
        <f>IF(livegame!$V$21,"",IF(A464&lt;&gt;"",A464,IF(AND(livegame!$T$20,livegame!$U$20&lt;&gt;"",B464="",B463&lt;&gt;""),livegame!$U$20,"")))</f>
        <v/>
      </c>
      <c r="B464" t="str">
        <f>IF(livegame!$V$21,"",IF(livegame!$T$20,B464,A464))</f>
        <v/>
      </c>
    </row>
    <row r="465" spans="1:2">
      <c r="A465" t="str">
        <f>IF(livegame!$V$21,"",IF(A465&lt;&gt;"",A465,IF(AND(livegame!$T$20,livegame!$U$20&lt;&gt;"",B465="",B464&lt;&gt;""),livegame!$U$20,"")))</f>
        <v/>
      </c>
      <c r="B465" t="str">
        <f>IF(livegame!$V$21,"",IF(livegame!$T$20,B465,A465))</f>
        <v/>
      </c>
    </row>
    <row r="466" spans="1:2">
      <c r="A466" t="str">
        <f>IF(livegame!$V$21,"",IF(A466&lt;&gt;"",A466,IF(AND(livegame!$T$20,livegame!$U$20&lt;&gt;"",B466="",B465&lt;&gt;""),livegame!$U$20,"")))</f>
        <v/>
      </c>
      <c r="B466" t="str">
        <f>IF(livegame!$V$21,"",IF(livegame!$T$20,B466,A466))</f>
        <v/>
      </c>
    </row>
    <row r="467" spans="1:2">
      <c r="A467" t="str">
        <f>IF(livegame!$V$21,"",IF(A467&lt;&gt;"",A467,IF(AND(livegame!$T$20,livegame!$U$20&lt;&gt;"",B467="",B466&lt;&gt;""),livegame!$U$20,"")))</f>
        <v/>
      </c>
      <c r="B467" t="str">
        <f>IF(livegame!$V$21,"",IF(livegame!$T$20,B467,A467))</f>
        <v/>
      </c>
    </row>
    <row r="468" spans="1:2">
      <c r="A468" t="str">
        <f>IF(livegame!$V$21,"",IF(A468&lt;&gt;"",A468,IF(AND(livegame!$T$20,livegame!$U$20&lt;&gt;"",B468="",B467&lt;&gt;""),livegame!$U$20,"")))</f>
        <v/>
      </c>
      <c r="B468" t="str">
        <f>IF(livegame!$V$21,"",IF(livegame!$T$20,B468,A468))</f>
        <v/>
      </c>
    </row>
    <row r="469" spans="1:2">
      <c r="A469" t="str">
        <f>IF(livegame!$V$21,"",IF(A469&lt;&gt;"",A469,IF(AND(livegame!$T$20,livegame!$U$20&lt;&gt;"",B469="",B468&lt;&gt;""),livegame!$U$20,"")))</f>
        <v/>
      </c>
      <c r="B469" t="str">
        <f>IF(livegame!$V$21,"",IF(livegame!$T$20,B469,A469))</f>
        <v/>
      </c>
    </row>
    <row r="470" spans="1:2">
      <c r="A470" t="str">
        <f>IF(livegame!$V$21,"",IF(A470&lt;&gt;"",A470,IF(AND(livegame!$T$20,livegame!$U$20&lt;&gt;"",B470="",B469&lt;&gt;""),livegame!$U$20,"")))</f>
        <v/>
      </c>
      <c r="B470" t="str">
        <f>IF(livegame!$V$21,"",IF(livegame!$T$20,B470,A470))</f>
        <v/>
      </c>
    </row>
    <row r="471" spans="1:2">
      <c r="A471" t="str">
        <f>IF(livegame!$V$21,"",IF(A471&lt;&gt;"",A471,IF(AND(livegame!$T$20,livegame!$U$20&lt;&gt;"",B471="",B470&lt;&gt;""),livegame!$U$20,"")))</f>
        <v/>
      </c>
      <c r="B471" t="str">
        <f>IF(livegame!$V$21,"",IF(livegame!$T$20,B471,A471))</f>
        <v/>
      </c>
    </row>
    <row r="472" spans="1:2">
      <c r="A472" t="str">
        <f>IF(livegame!$V$21,"",IF(A472&lt;&gt;"",A472,IF(AND(livegame!$T$20,livegame!$U$20&lt;&gt;"",B472="",B471&lt;&gt;""),livegame!$U$20,"")))</f>
        <v/>
      </c>
      <c r="B472" t="str">
        <f>IF(livegame!$V$21,"",IF(livegame!$T$20,B472,A472))</f>
        <v/>
      </c>
    </row>
    <row r="473" spans="1:2">
      <c r="A473" t="str">
        <f>IF(livegame!$V$21,"",IF(A473&lt;&gt;"",A473,IF(AND(livegame!$T$20,livegame!$U$20&lt;&gt;"",B473="",B472&lt;&gt;""),livegame!$U$20,"")))</f>
        <v/>
      </c>
      <c r="B473" t="str">
        <f>IF(livegame!$V$21,"",IF(livegame!$T$20,B473,A473))</f>
        <v/>
      </c>
    </row>
    <row r="474" spans="1:2">
      <c r="A474" t="str">
        <f>IF(livegame!$V$21,"",IF(A474&lt;&gt;"",A474,IF(AND(livegame!$T$20,livegame!$U$20&lt;&gt;"",B474="",B473&lt;&gt;""),livegame!$U$20,"")))</f>
        <v/>
      </c>
      <c r="B474" t="str">
        <f>IF(livegame!$V$21,"",IF(livegame!$T$20,B474,A474))</f>
        <v/>
      </c>
    </row>
    <row r="475" spans="1:2">
      <c r="A475" t="str">
        <f>IF(livegame!$V$21,"",IF(A475&lt;&gt;"",A475,IF(AND(livegame!$T$20,livegame!$U$20&lt;&gt;"",B475="",B474&lt;&gt;""),livegame!$U$20,"")))</f>
        <v/>
      </c>
      <c r="B475" t="str">
        <f>IF(livegame!$V$21,"",IF(livegame!$T$20,B475,A475))</f>
        <v/>
      </c>
    </row>
    <row r="476" spans="1:2">
      <c r="A476" t="str">
        <f>IF(livegame!$V$21,"",IF(A476&lt;&gt;"",A476,IF(AND(livegame!$T$20,livegame!$U$20&lt;&gt;"",B476="",B475&lt;&gt;""),livegame!$U$20,"")))</f>
        <v/>
      </c>
      <c r="B476" t="str">
        <f>IF(livegame!$V$21,"",IF(livegame!$T$20,B476,A476))</f>
        <v/>
      </c>
    </row>
    <row r="477" spans="1:2">
      <c r="A477" t="str">
        <f>IF(livegame!$V$21,"",IF(A477&lt;&gt;"",A477,IF(AND(livegame!$T$20,livegame!$U$20&lt;&gt;"",B477="",B476&lt;&gt;""),livegame!$U$20,"")))</f>
        <v/>
      </c>
      <c r="B477" t="str">
        <f>IF(livegame!$V$21,"",IF(livegame!$T$20,B477,A477))</f>
        <v/>
      </c>
    </row>
    <row r="478" spans="1:2">
      <c r="A478" t="str">
        <f>IF(livegame!$V$21,"",IF(A478&lt;&gt;"",A478,IF(AND(livegame!$T$20,livegame!$U$20&lt;&gt;"",B478="",B477&lt;&gt;""),livegame!$U$20,"")))</f>
        <v/>
      </c>
      <c r="B478" t="str">
        <f>IF(livegame!$V$21,"",IF(livegame!$T$20,B478,A478))</f>
        <v/>
      </c>
    </row>
    <row r="479" spans="1:2">
      <c r="A479" t="str">
        <f>IF(livegame!$V$21,"",IF(A479&lt;&gt;"",A479,IF(AND(livegame!$T$20,livegame!$U$20&lt;&gt;"",B479="",B478&lt;&gt;""),livegame!$U$20,"")))</f>
        <v/>
      </c>
      <c r="B479" t="str">
        <f>IF(livegame!$V$21,"",IF(livegame!$T$20,B479,A479))</f>
        <v/>
      </c>
    </row>
    <row r="480" spans="1:2">
      <c r="A480" t="str">
        <f>IF(livegame!$V$21,"",IF(A480&lt;&gt;"",A480,IF(AND(livegame!$T$20,livegame!$U$20&lt;&gt;"",B480="",B479&lt;&gt;""),livegame!$U$20,"")))</f>
        <v/>
      </c>
      <c r="B480" t="str">
        <f>IF(livegame!$V$21,"",IF(livegame!$T$20,B480,A480))</f>
        <v/>
      </c>
    </row>
    <row r="481" spans="1:2">
      <c r="A481" t="str">
        <f>IF(livegame!$V$21,"",IF(A481&lt;&gt;"",A481,IF(AND(livegame!$T$20,livegame!$U$20&lt;&gt;"",B481="",B480&lt;&gt;""),livegame!$U$20,"")))</f>
        <v/>
      </c>
      <c r="B481" t="str">
        <f>IF(livegame!$V$21,"",IF(livegame!$T$20,B481,A481))</f>
        <v/>
      </c>
    </row>
    <row r="482" spans="1:2">
      <c r="A482" t="str">
        <f>IF(livegame!$V$21,"",IF(A482&lt;&gt;"",A482,IF(AND(livegame!$T$20,livegame!$U$20&lt;&gt;"",B482="",B481&lt;&gt;""),livegame!$U$20,"")))</f>
        <v/>
      </c>
      <c r="B482" t="str">
        <f>IF(livegame!$V$21,"",IF(livegame!$T$20,B482,A482))</f>
        <v/>
      </c>
    </row>
    <row r="483" spans="1:2">
      <c r="A483" t="str">
        <f>IF(livegame!$V$21,"",IF(A483&lt;&gt;"",A483,IF(AND(livegame!$T$20,livegame!$U$20&lt;&gt;"",B483="",B482&lt;&gt;""),livegame!$U$20,"")))</f>
        <v/>
      </c>
      <c r="B483" t="str">
        <f>IF(livegame!$V$21,"",IF(livegame!$T$20,B483,A483))</f>
        <v/>
      </c>
    </row>
    <row r="484" spans="1:2">
      <c r="A484" t="str">
        <f>IF(livegame!$V$21,"",IF(A484&lt;&gt;"",A484,IF(AND(livegame!$T$20,livegame!$U$20&lt;&gt;"",B484="",B483&lt;&gt;""),livegame!$U$20,"")))</f>
        <v/>
      </c>
      <c r="B484" t="str">
        <f>IF(livegame!$V$21,"",IF(livegame!$T$20,B484,A484))</f>
        <v/>
      </c>
    </row>
    <row r="485" spans="1:2">
      <c r="A485" t="str">
        <f>IF(livegame!$V$21,"",IF(A485&lt;&gt;"",A485,IF(AND(livegame!$T$20,livegame!$U$20&lt;&gt;"",B485="",B484&lt;&gt;""),livegame!$U$20,"")))</f>
        <v/>
      </c>
      <c r="B485" t="str">
        <f>IF(livegame!$V$21,"",IF(livegame!$T$20,B485,A485))</f>
        <v/>
      </c>
    </row>
    <row r="486" spans="1:2">
      <c r="A486" t="str">
        <f>IF(livegame!$V$21,"",IF(A486&lt;&gt;"",A486,IF(AND(livegame!$T$20,livegame!$U$20&lt;&gt;"",B486="",B485&lt;&gt;""),livegame!$U$20,"")))</f>
        <v/>
      </c>
      <c r="B486" t="str">
        <f>IF(livegame!$V$21,"",IF(livegame!$T$20,B486,A486))</f>
        <v/>
      </c>
    </row>
    <row r="487" spans="1:2">
      <c r="A487" t="str">
        <f>IF(livegame!$V$21,"",IF(A487&lt;&gt;"",A487,IF(AND(livegame!$T$20,livegame!$U$20&lt;&gt;"",B487="",B486&lt;&gt;""),livegame!$U$20,"")))</f>
        <v/>
      </c>
      <c r="B487" t="str">
        <f>IF(livegame!$V$21,"",IF(livegame!$T$20,B487,A487))</f>
        <v/>
      </c>
    </row>
    <row r="488" spans="1:2">
      <c r="A488" t="str">
        <f>IF(livegame!$V$21,"",IF(A488&lt;&gt;"",A488,IF(AND(livegame!$T$20,livegame!$U$20&lt;&gt;"",B488="",B487&lt;&gt;""),livegame!$U$20,"")))</f>
        <v/>
      </c>
      <c r="B488" t="str">
        <f>IF(livegame!$V$21,"",IF(livegame!$T$20,B488,A488))</f>
        <v/>
      </c>
    </row>
    <row r="489" spans="1:2">
      <c r="A489" t="str">
        <f>IF(livegame!$V$21,"",IF(A489&lt;&gt;"",A489,IF(AND(livegame!$T$20,livegame!$U$20&lt;&gt;"",B489="",B488&lt;&gt;""),livegame!$U$20,"")))</f>
        <v/>
      </c>
      <c r="B489" t="str">
        <f>IF(livegame!$V$21,"",IF(livegame!$T$20,B489,A489))</f>
        <v/>
      </c>
    </row>
    <row r="490" spans="1:2">
      <c r="A490" t="str">
        <f>IF(livegame!$V$21,"",IF(A490&lt;&gt;"",A490,IF(AND(livegame!$T$20,livegame!$U$20&lt;&gt;"",B490="",B489&lt;&gt;""),livegame!$U$20,"")))</f>
        <v/>
      </c>
      <c r="B490" t="str">
        <f>IF(livegame!$V$21,"",IF(livegame!$T$20,B490,A490))</f>
        <v/>
      </c>
    </row>
    <row r="491" spans="1:2">
      <c r="A491" t="str">
        <f>IF(livegame!$V$21,"",IF(A491&lt;&gt;"",A491,IF(AND(livegame!$T$20,livegame!$U$20&lt;&gt;"",B491="",B490&lt;&gt;""),livegame!$U$20,"")))</f>
        <v/>
      </c>
      <c r="B491" t="str">
        <f>IF(livegame!$V$21,"",IF(livegame!$T$20,B491,A491))</f>
        <v/>
      </c>
    </row>
    <row r="492" spans="1:2">
      <c r="A492" t="str">
        <f>IF(livegame!$V$21,"",IF(A492&lt;&gt;"",A492,IF(AND(livegame!$T$20,livegame!$U$20&lt;&gt;"",B492="",B491&lt;&gt;""),livegame!$U$20,"")))</f>
        <v/>
      </c>
      <c r="B492" t="str">
        <f>IF(livegame!$V$21,"",IF(livegame!$T$20,B492,A492))</f>
        <v/>
      </c>
    </row>
    <row r="493" spans="1:2">
      <c r="A493" t="str">
        <f>IF(livegame!$V$21,"",IF(A493&lt;&gt;"",A493,IF(AND(livegame!$T$20,livegame!$U$20&lt;&gt;"",B493="",B492&lt;&gt;""),livegame!$U$20,"")))</f>
        <v/>
      </c>
      <c r="B493" t="str">
        <f>IF(livegame!$V$21,"",IF(livegame!$T$20,B493,A493))</f>
        <v/>
      </c>
    </row>
    <row r="494" spans="1:2">
      <c r="A494" t="str">
        <f>IF(livegame!$V$21,"",IF(A494&lt;&gt;"",A494,IF(AND(livegame!$T$20,livegame!$U$20&lt;&gt;"",B494="",B493&lt;&gt;""),livegame!$U$20,"")))</f>
        <v/>
      </c>
      <c r="B494" t="str">
        <f>IF(livegame!$V$21,"",IF(livegame!$T$20,B494,A494))</f>
        <v/>
      </c>
    </row>
    <row r="495" spans="1:2">
      <c r="A495" t="str">
        <f>IF(livegame!$V$21,"",IF(A495&lt;&gt;"",A495,IF(AND(livegame!$T$20,livegame!$U$20&lt;&gt;"",B495="",B494&lt;&gt;""),livegame!$U$20,"")))</f>
        <v/>
      </c>
      <c r="B495" t="str">
        <f>IF(livegame!$V$21,"",IF(livegame!$T$20,B495,A495))</f>
        <v/>
      </c>
    </row>
    <row r="496" spans="1:2">
      <c r="A496" t="str">
        <f>IF(livegame!$V$21,"",IF(A496&lt;&gt;"",A496,IF(AND(livegame!$T$20,livegame!$U$20&lt;&gt;"",B496="",B495&lt;&gt;""),livegame!$U$20,"")))</f>
        <v/>
      </c>
      <c r="B496" t="str">
        <f>IF(livegame!$V$21,"",IF(livegame!$T$20,B496,A496))</f>
        <v/>
      </c>
    </row>
    <row r="497" spans="1:2">
      <c r="A497" t="str">
        <f>IF(livegame!$V$21,"",IF(A497&lt;&gt;"",A497,IF(AND(livegame!$T$20,livegame!$U$20&lt;&gt;"",B497="",B496&lt;&gt;""),livegame!$U$20,"")))</f>
        <v/>
      </c>
      <c r="B497" t="str">
        <f>IF(livegame!$V$21,"",IF(livegame!$T$20,B497,A497))</f>
        <v/>
      </c>
    </row>
    <row r="498" spans="1:2">
      <c r="A498" t="str">
        <f>IF(livegame!$V$21,"",IF(A498&lt;&gt;"",A498,IF(AND(livegame!$T$20,livegame!$U$20&lt;&gt;"",B498="",B497&lt;&gt;""),livegame!$U$20,"")))</f>
        <v/>
      </c>
      <c r="B498" t="str">
        <f>IF(livegame!$V$21,"",IF(livegame!$T$20,B498,A498))</f>
        <v/>
      </c>
    </row>
    <row r="499" spans="1:2">
      <c r="A499" t="str">
        <f>IF(livegame!$V$21,"",IF(A499&lt;&gt;"",A499,IF(AND(livegame!$T$20,livegame!$U$20&lt;&gt;"",B499="",B498&lt;&gt;""),livegame!$U$20,"")))</f>
        <v/>
      </c>
      <c r="B499" t="str">
        <f>IF(livegame!$V$21,"",IF(livegame!$T$20,B499,A499))</f>
        <v/>
      </c>
    </row>
    <row r="500" spans="1:2">
      <c r="A500" t="str">
        <f>IF(livegame!$V$21,"",IF(A500&lt;&gt;"",A500,IF(AND(livegame!$T$20,livegame!$U$20&lt;&gt;"",B500="",B499&lt;&gt;""),livegame!$U$20,"")))</f>
        <v/>
      </c>
      <c r="B500" t="str">
        <f>IF(livegame!$V$21,"",IF(livegame!$T$20,B500,A500))</f>
        <v/>
      </c>
    </row>
    <row r="501" spans="1:2">
      <c r="A501" t="str">
        <f>IF(livegame!$V$21,"",IF(A501&lt;&gt;"",A501,IF(AND(livegame!$T$20,livegame!$U$20&lt;&gt;"",B501="",B500&lt;&gt;""),livegame!$U$20,"")))</f>
        <v/>
      </c>
      <c r="B501" t="str">
        <f>IF(livegame!$V$21,"",IF(livegame!$T$20,B501,A501))</f>
        <v/>
      </c>
    </row>
    <row r="502" spans="1:2">
      <c r="A502" t="str">
        <f>IF(livegame!$V$21,"",IF(A502&lt;&gt;"",A502,IF(AND(livegame!$T$20,livegame!$U$20&lt;&gt;"",B502="",B501&lt;&gt;""),livegame!$U$20,"")))</f>
        <v/>
      </c>
      <c r="B502" t="str">
        <f>IF(livegame!$V$21,"",IF(livegame!$T$20,B502,A502))</f>
        <v/>
      </c>
    </row>
    <row r="503" spans="1:2">
      <c r="A503" t="str">
        <f>IF(livegame!$V$21,"",IF(A503&lt;&gt;"",A503,IF(AND(livegame!$T$20,livegame!$U$20&lt;&gt;"",B503="",B502&lt;&gt;""),livegame!$U$20,"")))</f>
        <v/>
      </c>
      <c r="B503" t="str">
        <f>IF(livegame!$V$21,"",IF(livegame!$T$20,B503,A503))</f>
        <v/>
      </c>
    </row>
    <row r="504" spans="1:2">
      <c r="A504" t="str">
        <f>IF(livegame!$V$21,"",IF(A504&lt;&gt;"",A504,IF(AND(livegame!$T$20,livegame!$U$20&lt;&gt;"",B504="",B503&lt;&gt;""),livegame!$U$20,"")))</f>
        <v/>
      </c>
      <c r="B504" t="str">
        <f>IF(livegame!$V$21,"",IF(livegame!$T$20,B504,A504))</f>
        <v/>
      </c>
    </row>
    <row r="505" spans="1:2">
      <c r="A505" t="str">
        <f>IF(livegame!$V$21,"",IF(A505&lt;&gt;"",A505,IF(AND(livegame!$T$20,livegame!$U$20&lt;&gt;"",B505="",B504&lt;&gt;""),livegame!$U$20,"")))</f>
        <v/>
      </c>
      <c r="B505" t="str">
        <f>IF(livegame!$V$21,"",IF(livegame!$T$20,B505,A505))</f>
        <v/>
      </c>
    </row>
    <row r="506" spans="1:2">
      <c r="A506" t="str">
        <f>IF(livegame!$V$21,"",IF(A506&lt;&gt;"",A506,IF(AND(livegame!$T$20,livegame!$U$20&lt;&gt;"",B506="",B505&lt;&gt;""),livegame!$U$20,"")))</f>
        <v/>
      </c>
      <c r="B506" t="str">
        <f>IF(livegame!$V$21,"",IF(livegame!$T$20,B506,A506))</f>
        <v/>
      </c>
    </row>
    <row r="507" spans="1:2">
      <c r="A507" t="str">
        <f>IF(livegame!$V$21,"",IF(A507&lt;&gt;"",A507,IF(AND(livegame!$T$20,livegame!$U$20&lt;&gt;"",B507="",B506&lt;&gt;""),livegame!$U$20,"")))</f>
        <v/>
      </c>
      <c r="B507" t="str">
        <f>IF(livegame!$V$21,"",IF(livegame!$T$20,B507,A507))</f>
        <v/>
      </c>
    </row>
    <row r="508" spans="1:2">
      <c r="A508" t="str">
        <f>IF(livegame!$V$21,"",IF(A508&lt;&gt;"",A508,IF(AND(livegame!$T$20,livegame!$U$20&lt;&gt;"",B508="",B507&lt;&gt;""),livegame!$U$20,"")))</f>
        <v/>
      </c>
      <c r="B508" t="str">
        <f>IF(livegame!$V$21,"",IF(livegame!$T$20,B508,A508))</f>
        <v/>
      </c>
    </row>
    <row r="509" spans="1:2">
      <c r="A509" t="str">
        <f>IF(livegame!$V$21,"",IF(A509&lt;&gt;"",A509,IF(AND(livegame!$T$20,livegame!$U$20&lt;&gt;"",B509="",B508&lt;&gt;""),livegame!$U$20,"")))</f>
        <v/>
      </c>
      <c r="B509" t="str">
        <f>IF(livegame!$V$21,"",IF(livegame!$T$20,B509,A509))</f>
        <v/>
      </c>
    </row>
    <row r="510" spans="1:2">
      <c r="A510" t="str">
        <f>IF(livegame!$V$21,"",IF(A510&lt;&gt;"",A510,IF(AND(livegame!$T$20,livegame!$U$20&lt;&gt;"",B510="",B509&lt;&gt;""),livegame!$U$20,"")))</f>
        <v/>
      </c>
      <c r="B510" t="str">
        <f>IF(livegame!$V$21,"",IF(livegame!$T$20,B510,A510))</f>
        <v/>
      </c>
    </row>
    <row r="511" spans="1:2">
      <c r="A511" t="str">
        <f>IF(livegame!$V$21,"",IF(A511&lt;&gt;"",A511,IF(AND(livegame!$T$20,livegame!$U$20&lt;&gt;"",B511="",B510&lt;&gt;""),livegame!$U$20,"")))</f>
        <v/>
      </c>
      <c r="B511" t="str">
        <f>IF(livegame!$V$21,"",IF(livegame!$T$20,B511,A511))</f>
        <v/>
      </c>
    </row>
    <row r="512" spans="1:2">
      <c r="A512" t="str">
        <f>IF(livegame!$V$21,"",IF(A512&lt;&gt;"",A512,IF(AND(livegame!$T$20,livegame!$U$20&lt;&gt;"",B512="",B511&lt;&gt;""),livegame!$U$20,"")))</f>
        <v/>
      </c>
      <c r="B512" t="str">
        <f>IF(livegame!$V$21,"",IF(livegame!$T$20,B512,A512))</f>
        <v/>
      </c>
    </row>
    <row r="513" spans="1:2">
      <c r="A513" t="str">
        <f>IF(livegame!$V$21,"",IF(A513&lt;&gt;"",A513,IF(AND(livegame!$T$20,livegame!$U$20&lt;&gt;"",B513="",B512&lt;&gt;""),livegame!$U$20,"")))</f>
        <v/>
      </c>
      <c r="B513" t="str">
        <f>IF(livegame!$V$21,"",IF(livegame!$T$20,B513,A513))</f>
        <v/>
      </c>
    </row>
    <row r="514" spans="1:2">
      <c r="A514" t="str">
        <f>IF(livegame!$V$21,"",IF(A514&lt;&gt;"",A514,IF(AND(livegame!$T$20,livegame!$U$20&lt;&gt;"",B514="",B513&lt;&gt;""),livegame!$U$20,"")))</f>
        <v/>
      </c>
      <c r="B514" t="str">
        <f>IF(livegame!$V$21,"",IF(livegame!$T$20,B514,A514))</f>
        <v/>
      </c>
    </row>
    <row r="515" spans="1:2">
      <c r="A515" t="str">
        <f>IF(livegame!$V$21,"",IF(A515&lt;&gt;"",A515,IF(AND(livegame!$T$20,livegame!$U$20&lt;&gt;"",B515="",B514&lt;&gt;""),livegame!$U$20,"")))</f>
        <v/>
      </c>
      <c r="B515" t="str">
        <f>IF(livegame!$V$21,"",IF(livegame!$T$20,B515,A515))</f>
        <v/>
      </c>
    </row>
    <row r="516" spans="1:2">
      <c r="A516" t="str">
        <f>IF(livegame!$V$21,"",IF(A516&lt;&gt;"",A516,IF(AND(livegame!$T$20,livegame!$U$20&lt;&gt;"",B516="",B515&lt;&gt;""),livegame!$U$20,"")))</f>
        <v/>
      </c>
      <c r="B516" t="str">
        <f>IF(livegame!$V$21,"",IF(livegame!$T$20,B516,A516))</f>
        <v/>
      </c>
    </row>
    <row r="517" spans="1:2">
      <c r="A517" t="str">
        <f>IF(livegame!$V$21,"",IF(A517&lt;&gt;"",A517,IF(AND(livegame!$T$20,livegame!$U$20&lt;&gt;"",B517="",B516&lt;&gt;""),livegame!$U$20,"")))</f>
        <v/>
      </c>
      <c r="B517" t="str">
        <f>IF(livegame!$V$21,"",IF(livegame!$T$20,B517,A517))</f>
        <v/>
      </c>
    </row>
    <row r="518" spans="1:2">
      <c r="A518" t="str">
        <f>IF(livegame!$V$21,"",IF(A518&lt;&gt;"",A518,IF(AND(livegame!$T$20,livegame!$U$20&lt;&gt;"",B518="",B517&lt;&gt;""),livegame!$U$20,"")))</f>
        <v/>
      </c>
      <c r="B518" t="str">
        <f>IF(livegame!$V$21,"",IF(livegame!$T$20,B518,A518))</f>
        <v/>
      </c>
    </row>
    <row r="519" spans="1:2">
      <c r="A519" t="str">
        <f>IF(livegame!$V$21,"",IF(A519&lt;&gt;"",A519,IF(AND(livegame!$T$20,livegame!$U$20&lt;&gt;"",B519="",B518&lt;&gt;""),livegame!$U$20,"")))</f>
        <v/>
      </c>
      <c r="B519" t="str">
        <f>IF(livegame!$V$21,"",IF(livegame!$T$20,B519,A519))</f>
        <v/>
      </c>
    </row>
    <row r="520" spans="1:2">
      <c r="A520" t="str">
        <f>IF(livegame!$V$21,"",IF(A520&lt;&gt;"",A520,IF(AND(livegame!$T$20,livegame!$U$20&lt;&gt;"",B520="",B519&lt;&gt;""),livegame!$U$20,"")))</f>
        <v/>
      </c>
      <c r="B520" t="str">
        <f>IF(livegame!$V$21,"",IF(livegame!$T$20,B520,A520))</f>
        <v/>
      </c>
    </row>
    <row r="521" spans="1:2">
      <c r="A521" t="str">
        <f>IF(livegame!$V$21,"",IF(A521&lt;&gt;"",A521,IF(AND(livegame!$T$20,livegame!$U$20&lt;&gt;"",B521="",B520&lt;&gt;""),livegame!$U$20,"")))</f>
        <v/>
      </c>
      <c r="B521" t="str">
        <f>IF(livegame!$V$21,"",IF(livegame!$T$20,B521,A521))</f>
        <v/>
      </c>
    </row>
    <row r="522" spans="1:2">
      <c r="A522" t="str">
        <f>IF(livegame!$V$21,"",IF(A522&lt;&gt;"",A522,IF(AND(livegame!$T$20,livegame!$U$20&lt;&gt;"",B522="",B521&lt;&gt;""),livegame!$U$20,"")))</f>
        <v/>
      </c>
      <c r="B522" t="str">
        <f>IF(livegame!$V$21,"",IF(livegame!$T$20,B522,A522))</f>
        <v/>
      </c>
    </row>
    <row r="523" spans="1:2">
      <c r="A523" t="str">
        <f>IF(livegame!$V$21,"",IF(A523&lt;&gt;"",A523,IF(AND(livegame!$T$20,livegame!$U$20&lt;&gt;"",B523="",B522&lt;&gt;""),livegame!$U$20,"")))</f>
        <v/>
      </c>
      <c r="B523" t="str">
        <f>IF(livegame!$V$21,"",IF(livegame!$T$20,B523,A523))</f>
        <v/>
      </c>
    </row>
    <row r="524" spans="1:2">
      <c r="A524" t="str">
        <f>IF(livegame!$V$21,"",IF(A524&lt;&gt;"",A524,IF(AND(livegame!$T$20,livegame!$U$20&lt;&gt;"",B524="",B523&lt;&gt;""),livegame!$U$20,"")))</f>
        <v/>
      </c>
      <c r="B524" t="str">
        <f>IF(livegame!$V$21,"",IF(livegame!$T$20,B524,A524))</f>
        <v/>
      </c>
    </row>
    <row r="525" spans="1:2">
      <c r="A525" t="str">
        <f>IF(livegame!$V$21,"",IF(A525&lt;&gt;"",A525,IF(AND(livegame!$T$20,livegame!$U$20&lt;&gt;"",B525="",B524&lt;&gt;""),livegame!$U$20,"")))</f>
        <v/>
      </c>
      <c r="B525" t="str">
        <f>IF(livegame!$V$21,"",IF(livegame!$T$20,B525,A525))</f>
        <v/>
      </c>
    </row>
    <row r="526" spans="1:2">
      <c r="A526" t="str">
        <f>IF(livegame!$V$21,"",IF(A526&lt;&gt;"",A526,IF(AND(livegame!$T$20,livegame!$U$20&lt;&gt;"",B526="",B525&lt;&gt;""),livegame!$U$20,"")))</f>
        <v/>
      </c>
      <c r="B526" t="str">
        <f>IF(livegame!$V$21,"",IF(livegame!$T$20,B526,A526))</f>
        <v/>
      </c>
    </row>
    <row r="527" spans="1:2">
      <c r="A527" t="str">
        <f>IF(livegame!$V$21,"",IF(A527&lt;&gt;"",A527,IF(AND(livegame!$T$20,livegame!$U$20&lt;&gt;"",B527="",B526&lt;&gt;""),livegame!$U$20,"")))</f>
        <v/>
      </c>
      <c r="B527" t="str">
        <f>IF(livegame!$V$21,"",IF(livegame!$T$20,B527,A527))</f>
        <v/>
      </c>
    </row>
    <row r="528" spans="1:2">
      <c r="A528" t="str">
        <f>IF(livegame!$V$21,"",IF(A528&lt;&gt;"",A528,IF(AND(livegame!$T$20,livegame!$U$20&lt;&gt;"",B528="",B527&lt;&gt;""),livegame!$U$20,"")))</f>
        <v/>
      </c>
      <c r="B528" t="str">
        <f>IF(livegame!$V$21,"",IF(livegame!$T$20,B528,A528))</f>
        <v/>
      </c>
    </row>
    <row r="529" spans="1:2">
      <c r="A529" t="str">
        <f>IF(livegame!$V$21,"",IF(A529&lt;&gt;"",A529,IF(AND(livegame!$T$20,livegame!$U$20&lt;&gt;"",B529="",B528&lt;&gt;""),livegame!$U$20,"")))</f>
        <v/>
      </c>
      <c r="B529" t="str">
        <f>IF(livegame!$V$21,"",IF(livegame!$T$20,B529,A529))</f>
        <v/>
      </c>
    </row>
    <row r="530" spans="1:2">
      <c r="A530" t="str">
        <f>IF(livegame!$V$21,"",IF(A530&lt;&gt;"",A530,IF(AND(livegame!$T$20,livegame!$U$20&lt;&gt;"",B530="",B529&lt;&gt;""),livegame!$U$20,"")))</f>
        <v/>
      </c>
      <c r="B530" t="str">
        <f>IF(livegame!$V$21,"",IF(livegame!$T$20,B530,A530))</f>
        <v/>
      </c>
    </row>
    <row r="531" spans="1:2">
      <c r="A531" t="str">
        <f>IF(livegame!$V$21,"",IF(A531&lt;&gt;"",A531,IF(AND(livegame!$T$20,livegame!$U$20&lt;&gt;"",B531="",B530&lt;&gt;""),livegame!$U$20,"")))</f>
        <v/>
      </c>
      <c r="B531" t="str">
        <f>IF(livegame!$V$21,"",IF(livegame!$T$20,B531,A531))</f>
        <v/>
      </c>
    </row>
    <row r="532" spans="1:2">
      <c r="A532" t="str">
        <f>IF(livegame!$V$21,"",IF(A532&lt;&gt;"",A532,IF(AND(livegame!$T$20,livegame!$U$20&lt;&gt;"",B532="",B531&lt;&gt;""),livegame!$U$20,"")))</f>
        <v/>
      </c>
      <c r="B532" t="str">
        <f>IF(livegame!$V$21,"",IF(livegame!$T$20,B532,A532))</f>
        <v/>
      </c>
    </row>
    <row r="533" spans="1:2">
      <c r="A533" t="str">
        <f>IF(livegame!$V$21,"",IF(A533&lt;&gt;"",A533,IF(AND(livegame!$T$20,livegame!$U$20&lt;&gt;"",B533="",B532&lt;&gt;""),livegame!$U$20,"")))</f>
        <v/>
      </c>
      <c r="B533" t="str">
        <f>IF(livegame!$V$21,"",IF(livegame!$T$20,B533,A533))</f>
        <v/>
      </c>
    </row>
    <row r="534" spans="1:2">
      <c r="A534" t="str">
        <f>IF(livegame!$V$21,"",IF(A534&lt;&gt;"",A534,IF(AND(livegame!$T$20,livegame!$U$20&lt;&gt;"",B534="",B533&lt;&gt;""),livegame!$U$20,"")))</f>
        <v/>
      </c>
      <c r="B534" t="str">
        <f>IF(livegame!$V$21,"",IF(livegame!$T$20,B534,A534))</f>
        <v/>
      </c>
    </row>
    <row r="535" spans="1:2">
      <c r="A535" t="str">
        <f>IF(livegame!$V$21,"",IF(A535&lt;&gt;"",A535,IF(AND(livegame!$T$20,livegame!$U$20&lt;&gt;"",B535="",B534&lt;&gt;""),livegame!$U$20,"")))</f>
        <v/>
      </c>
      <c r="B535" t="str">
        <f>IF(livegame!$V$21,"",IF(livegame!$T$20,B535,A535))</f>
        <v/>
      </c>
    </row>
    <row r="536" spans="1:2">
      <c r="A536" t="str">
        <f>IF(livegame!$V$21,"",IF(A536&lt;&gt;"",A536,IF(AND(livegame!$T$20,livegame!$U$20&lt;&gt;"",B536="",B535&lt;&gt;""),livegame!$U$20,"")))</f>
        <v/>
      </c>
      <c r="B536" t="str">
        <f>IF(livegame!$V$21,"",IF(livegame!$T$20,B536,A536))</f>
        <v/>
      </c>
    </row>
    <row r="537" spans="1:2">
      <c r="A537" t="str">
        <f>IF(livegame!$V$21,"",IF(A537&lt;&gt;"",A537,IF(AND(livegame!$T$20,livegame!$U$20&lt;&gt;"",B537="",B536&lt;&gt;""),livegame!$U$20,"")))</f>
        <v/>
      </c>
      <c r="B537" t="str">
        <f>IF(livegame!$V$21,"",IF(livegame!$T$20,B537,A537))</f>
        <v/>
      </c>
    </row>
    <row r="538" spans="1:2">
      <c r="A538" t="str">
        <f>IF(livegame!$V$21,"",IF(A538&lt;&gt;"",A538,IF(AND(livegame!$T$20,livegame!$U$20&lt;&gt;"",B538="",B537&lt;&gt;""),livegame!$U$20,"")))</f>
        <v/>
      </c>
      <c r="B538" t="str">
        <f>IF(livegame!$V$21,"",IF(livegame!$T$20,B538,A538))</f>
        <v/>
      </c>
    </row>
    <row r="539" spans="1:2">
      <c r="A539" t="str">
        <f>IF(livegame!$V$21,"",IF(A539&lt;&gt;"",A539,IF(AND(livegame!$T$20,livegame!$U$20&lt;&gt;"",B539="",B538&lt;&gt;""),livegame!$U$20,"")))</f>
        <v/>
      </c>
      <c r="B539" t="str">
        <f>IF(livegame!$V$21,"",IF(livegame!$T$20,B539,A539))</f>
        <v/>
      </c>
    </row>
    <row r="540" spans="1:2">
      <c r="A540" t="str">
        <f>IF(livegame!$V$21,"",IF(A540&lt;&gt;"",A540,IF(AND(livegame!$T$20,livegame!$U$20&lt;&gt;"",B540="",B539&lt;&gt;""),livegame!$U$20,"")))</f>
        <v/>
      </c>
      <c r="B540" t="str">
        <f>IF(livegame!$V$21,"",IF(livegame!$T$20,B540,A540))</f>
        <v/>
      </c>
    </row>
    <row r="541" spans="1:2">
      <c r="A541" t="str">
        <f>IF(livegame!$V$21,"",IF(A541&lt;&gt;"",A541,IF(AND(livegame!$T$20,livegame!$U$20&lt;&gt;"",B541="",B540&lt;&gt;""),livegame!$U$20,"")))</f>
        <v/>
      </c>
      <c r="B541" t="str">
        <f>IF(livegame!$V$21,"",IF(livegame!$T$20,B541,A541))</f>
        <v/>
      </c>
    </row>
    <row r="542" spans="1:2">
      <c r="A542" t="str">
        <f>IF(livegame!$V$21,"",IF(A542&lt;&gt;"",A542,IF(AND(livegame!$T$20,livegame!$U$20&lt;&gt;"",B542="",B541&lt;&gt;""),livegame!$U$20,"")))</f>
        <v/>
      </c>
      <c r="B542" t="str">
        <f>IF(livegame!$V$21,"",IF(livegame!$T$20,B542,A542))</f>
        <v/>
      </c>
    </row>
    <row r="543" spans="1:2">
      <c r="A543" t="str">
        <f>IF(livegame!$V$21,"",IF(A543&lt;&gt;"",A543,IF(AND(livegame!$T$20,livegame!$U$20&lt;&gt;"",B543="",B542&lt;&gt;""),livegame!$U$20,"")))</f>
        <v/>
      </c>
      <c r="B543" t="str">
        <f>IF(livegame!$V$21,"",IF(livegame!$T$20,B543,A543))</f>
        <v/>
      </c>
    </row>
    <row r="544" spans="1:2">
      <c r="A544" t="str">
        <f>IF(livegame!$V$21,"",IF(A544&lt;&gt;"",A544,IF(AND(livegame!$T$20,livegame!$U$20&lt;&gt;"",B544="",B543&lt;&gt;""),livegame!$U$20,"")))</f>
        <v/>
      </c>
      <c r="B544" t="str">
        <f>IF(livegame!$V$21,"",IF(livegame!$T$20,B544,A544))</f>
        <v/>
      </c>
    </row>
    <row r="545" spans="1:2">
      <c r="A545" t="str">
        <f>IF(livegame!$V$21,"",IF(A545&lt;&gt;"",A545,IF(AND(livegame!$T$20,livegame!$U$20&lt;&gt;"",B545="",B544&lt;&gt;""),livegame!$U$20,"")))</f>
        <v/>
      </c>
      <c r="B545" t="str">
        <f>IF(livegame!$V$21,"",IF(livegame!$T$20,B545,A545))</f>
        <v/>
      </c>
    </row>
    <row r="546" spans="1:2">
      <c r="A546" t="str">
        <f>IF(livegame!$V$21,"",IF(A546&lt;&gt;"",A546,IF(AND(livegame!$T$20,livegame!$U$20&lt;&gt;"",B546="",B545&lt;&gt;""),livegame!$U$20,"")))</f>
        <v/>
      </c>
      <c r="B546" t="str">
        <f>IF(livegame!$V$21,"",IF(livegame!$T$20,B546,A546))</f>
        <v/>
      </c>
    </row>
    <row r="547" spans="1:2">
      <c r="A547" t="str">
        <f>IF(livegame!$V$21,"",IF(A547&lt;&gt;"",A547,IF(AND(livegame!$T$20,livegame!$U$20&lt;&gt;"",B547="",B546&lt;&gt;""),livegame!$U$20,"")))</f>
        <v/>
      </c>
      <c r="B547" t="str">
        <f>IF(livegame!$V$21,"",IF(livegame!$T$20,B547,A547))</f>
        <v/>
      </c>
    </row>
    <row r="548" spans="1:2">
      <c r="A548" t="str">
        <f>IF(livegame!$V$21,"",IF(A548&lt;&gt;"",A548,IF(AND(livegame!$T$20,livegame!$U$20&lt;&gt;"",B548="",B547&lt;&gt;""),livegame!$U$20,"")))</f>
        <v/>
      </c>
      <c r="B548" t="str">
        <f>IF(livegame!$V$21,"",IF(livegame!$T$20,B548,A548))</f>
        <v/>
      </c>
    </row>
    <row r="549" spans="1:2">
      <c r="A549" t="str">
        <f>IF(livegame!$V$21,"",IF(A549&lt;&gt;"",A549,IF(AND(livegame!$T$20,livegame!$U$20&lt;&gt;"",B549="",B548&lt;&gt;""),livegame!$U$20,"")))</f>
        <v/>
      </c>
      <c r="B549" t="str">
        <f>IF(livegame!$V$21,"",IF(livegame!$T$20,B549,A549))</f>
        <v/>
      </c>
    </row>
    <row r="550" spans="1:2">
      <c r="A550" t="str">
        <f>IF(livegame!$V$21,"",IF(A550&lt;&gt;"",A550,IF(AND(livegame!$T$20,livegame!$U$20&lt;&gt;"",B550="",B549&lt;&gt;""),livegame!$U$20,"")))</f>
        <v/>
      </c>
      <c r="B550" t="str">
        <f>IF(livegame!$V$21,"",IF(livegame!$T$20,B550,A550))</f>
        <v/>
      </c>
    </row>
    <row r="551" spans="1:2">
      <c r="A551" t="str">
        <f>IF(livegame!$V$21,"",IF(A551&lt;&gt;"",A551,IF(AND(livegame!$T$20,livegame!$U$20&lt;&gt;"",B551="",B550&lt;&gt;""),livegame!$U$20,"")))</f>
        <v/>
      </c>
      <c r="B551" t="str">
        <f>IF(livegame!$V$21,"",IF(livegame!$T$20,B551,A551))</f>
        <v/>
      </c>
    </row>
    <row r="552" spans="1:2">
      <c r="A552" t="str">
        <f>IF(livegame!$V$21,"",IF(A552&lt;&gt;"",A552,IF(AND(livegame!$T$20,livegame!$U$20&lt;&gt;"",B552="",B551&lt;&gt;""),livegame!$U$20,"")))</f>
        <v/>
      </c>
      <c r="B552" t="str">
        <f>IF(livegame!$V$21,"",IF(livegame!$T$20,B552,A552))</f>
        <v/>
      </c>
    </row>
    <row r="553" spans="1:2">
      <c r="A553" t="str">
        <f>IF(livegame!$V$21,"",IF(A553&lt;&gt;"",A553,IF(AND(livegame!$T$20,livegame!$U$20&lt;&gt;"",B553="",B552&lt;&gt;""),livegame!$U$20,"")))</f>
        <v/>
      </c>
      <c r="B553" t="str">
        <f>IF(livegame!$V$21,"",IF(livegame!$T$20,B553,A553))</f>
        <v/>
      </c>
    </row>
    <row r="554" spans="1:2">
      <c r="A554" t="str">
        <f>IF(livegame!$V$21,"",IF(A554&lt;&gt;"",A554,IF(AND(livegame!$T$20,livegame!$U$20&lt;&gt;"",B554="",B553&lt;&gt;""),livegame!$U$20,"")))</f>
        <v/>
      </c>
      <c r="B554" t="str">
        <f>IF(livegame!$V$21,"",IF(livegame!$T$20,B554,A554))</f>
        <v/>
      </c>
    </row>
    <row r="555" spans="1:2">
      <c r="A555" t="str">
        <f>IF(livegame!$V$21,"",IF(A555&lt;&gt;"",A555,IF(AND(livegame!$T$20,livegame!$U$20&lt;&gt;"",B555="",B554&lt;&gt;""),livegame!$U$20,"")))</f>
        <v/>
      </c>
      <c r="B555" t="str">
        <f>IF(livegame!$V$21,"",IF(livegame!$T$20,B555,A555))</f>
        <v/>
      </c>
    </row>
    <row r="556" spans="1:2">
      <c r="A556" t="str">
        <f>IF(livegame!$V$21,"",IF(A556&lt;&gt;"",A556,IF(AND(livegame!$T$20,livegame!$U$20&lt;&gt;"",B556="",B555&lt;&gt;""),livegame!$U$20,"")))</f>
        <v/>
      </c>
      <c r="B556" t="str">
        <f>IF(livegame!$V$21,"",IF(livegame!$T$20,B556,A556))</f>
        <v/>
      </c>
    </row>
    <row r="557" spans="1:2">
      <c r="A557" t="str">
        <f>IF(livegame!$V$21,"",IF(A557&lt;&gt;"",A557,IF(AND(livegame!$T$20,livegame!$U$20&lt;&gt;"",B557="",B556&lt;&gt;""),livegame!$U$20,"")))</f>
        <v/>
      </c>
      <c r="B557" t="str">
        <f>IF(livegame!$V$21,"",IF(livegame!$T$20,B557,A557))</f>
        <v/>
      </c>
    </row>
    <row r="558" spans="1:2">
      <c r="A558" t="str">
        <f>IF(livegame!$V$21,"",IF(A558&lt;&gt;"",A558,IF(AND(livegame!$T$20,livegame!$U$20&lt;&gt;"",B558="",B557&lt;&gt;""),livegame!$U$20,"")))</f>
        <v/>
      </c>
      <c r="B558" t="str">
        <f>IF(livegame!$V$21,"",IF(livegame!$T$20,B558,A558))</f>
        <v/>
      </c>
    </row>
    <row r="559" spans="1:2">
      <c r="A559" t="str">
        <f>IF(livegame!$V$21,"",IF(A559&lt;&gt;"",A559,IF(AND(livegame!$T$20,livegame!$U$20&lt;&gt;"",B559="",B558&lt;&gt;""),livegame!$U$20,"")))</f>
        <v/>
      </c>
      <c r="B559" t="str">
        <f>IF(livegame!$V$21,"",IF(livegame!$T$20,B559,A559))</f>
        <v/>
      </c>
    </row>
    <row r="560" spans="1:2">
      <c r="A560" t="str">
        <f>IF(livegame!$V$21,"",IF(A560&lt;&gt;"",A560,IF(AND(livegame!$T$20,livegame!$U$20&lt;&gt;"",B560="",B559&lt;&gt;""),livegame!$U$20,"")))</f>
        <v/>
      </c>
      <c r="B560" t="str">
        <f>IF(livegame!$V$21,"",IF(livegame!$T$20,B560,A560))</f>
        <v/>
      </c>
    </row>
    <row r="561" spans="1:2">
      <c r="A561" t="str">
        <f>IF(livegame!$V$21,"",IF(A561&lt;&gt;"",A561,IF(AND(livegame!$T$20,livegame!$U$20&lt;&gt;"",B561="",B560&lt;&gt;""),livegame!$U$20,"")))</f>
        <v/>
      </c>
      <c r="B561" t="str">
        <f>IF(livegame!$V$21,"",IF(livegame!$T$20,B561,A561))</f>
        <v/>
      </c>
    </row>
    <row r="562" spans="1:2">
      <c r="A562" t="str">
        <f>IF(livegame!$V$21,"",IF(A562&lt;&gt;"",A562,IF(AND(livegame!$T$20,livegame!$U$20&lt;&gt;"",B562="",B561&lt;&gt;""),livegame!$U$20,"")))</f>
        <v/>
      </c>
      <c r="B562" t="str">
        <f>IF(livegame!$V$21,"",IF(livegame!$T$20,B562,A562))</f>
        <v/>
      </c>
    </row>
    <row r="563" spans="1:2">
      <c r="A563" t="str">
        <f>IF(livegame!$V$21,"",IF(A563&lt;&gt;"",A563,IF(AND(livegame!$T$20,livegame!$U$20&lt;&gt;"",B563="",B562&lt;&gt;""),livegame!$U$20,"")))</f>
        <v/>
      </c>
      <c r="B563" t="str">
        <f>IF(livegame!$V$21,"",IF(livegame!$T$20,B563,A563))</f>
        <v/>
      </c>
    </row>
    <row r="564" spans="1:2">
      <c r="A564" t="str">
        <f>IF(livegame!$V$21,"",IF(A564&lt;&gt;"",A564,IF(AND(livegame!$T$20,livegame!$U$20&lt;&gt;"",B564="",B563&lt;&gt;""),livegame!$U$20,"")))</f>
        <v/>
      </c>
      <c r="B564" t="str">
        <f>IF(livegame!$V$21,"",IF(livegame!$T$20,B564,A564))</f>
        <v/>
      </c>
    </row>
    <row r="565" spans="1:2">
      <c r="A565" t="str">
        <f>IF(livegame!$V$21,"",IF(A565&lt;&gt;"",A565,IF(AND(livegame!$T$20,livegame!$U$20&lt;&gt;"",B565="",B564&lt;&gt;""),livegame!$U$20,"")))</f>
        <v/>
      </c>
      <c r="B565" t="str">
        <f>IF(livegame!$V$21,"",IF(livegame!$T$20,B565,A565))</f>
        <v/>
      </c>
    </row>
    <row r="566" spans="1:2">
      <c r="A566" t="str">
        <f>IF(livegame!$V$21,"",IF(A566&lt;&gt;"",A566,IF(AND(livegame!$T$20,livegame!$U$20&lt;&gt;"",B566="",B565&lt;&gt;""),livegame!$U$20,"")))</f>
        <v/>
      </c>
      <c r="B566" t="str">
        <f>IF(livegame!$V$21,"",IF(livegame!$T$20,B566,A566))</f>
        <v/>
      </c>
    </row>
    <row r="567" spans="1:2">
      <c r="A567" t="str">
        <f>IF(livegame!$V$21,"",IF(A567&lt;&gt;"",A567,IF(AND(livegame!$T$20,livegame!$U$20&lt;&gt;"",B567="",B566&lt;&gt;""),livegame!$U$20,"")))</f>
        <v/>
      </c>
      <c r="B567" t="str">
        <f>IF(livegame!$V$21,"",IF(livegame!$T$20,B567,A567))</f>
        <v/>
      </c>
    </row>
    <row r="568" spans="1:2">
      <c r="A568" t="str">
        <f>IF(livegame!$V$21,"",IF(A568&lt;&gt;"",A568,IF(AND(livegame!$T$20,livegame!$U$20&lt;&gt;"",B568="",B567&lt;&gt;""),livegame!$U$20,"")))</f>
        <v/>
      </c>
      <c r="B568" t="str">
        <f>IF(livegame!$V$21,"",IF(livegame!$T$20,B568,A568))</f>
        <v/>
      </c>
    </row>
    <row r="569" spans="1:2">
      <c r="A569" t="str">
        <f>IF(livegame!$V$21,"",IF(A569&lt;&gt;"",A569,IF(AND(livegame!$T$20,livegame!$U$20&lt;&gt;"",B569="",B568&lt;&gt;""),livegame!$U$20,"")))</f>
        <v/>
      </c>
      <c r="B569" t="str">
        <f>IF(livegame!$V$21,"",IF(livegame!$T$20,B569,A569))</f>
        <v/>
      </c>
    </row>
    <row r="570" spans="1:2">
      <c r="A570" t="str">
        <f>IF(livegame!$V$21,"",IF(A570&lt;&gt;"",A570,IF(AND(livegame!$T$20,livegame!$U$20&lt;&gt;"",B570="",B569&lt;&gt;""),livegame!$U$20,"")))</f>
        <v/>
      </c>
      <c r="B570" t="str">
        <f>IF(livegame!$V$21,"",IF(livegame!$T$20,B570,A570))</f>
        <v/>
      </c>
    </row>
    <row r="571" spans="1:2">
      <c r="A571" t="str">
        <f>IF(livegame!$V$21,"",IF(A571&lt;&gt;"",A571,IF(AND(livegame!$T$20,livegame!$U$20&lt;&gt;"",B571="",B570&lt;&gt;""),livegame!$U$20,"")))</f>
        <v/>
      </c>
      <c r="B571" t="str">
        <f>IF(livegame!$V$21,"",IF(livegame!$T$20,B571,A571))</f>
        <v/>
      </c>
    </row>
    <row r="572" spans="1:2">
      <c r="A572" t="str">
        <f>IF(livegame!$V$21,"",IF(A572&lt;&gt;"",A572,IF(AND(livegame!$T$20,livegame!$U$20&lt;&gt;"",B572="",B571&lt;&gt;""),livegame!$U$20,"")))</f>
        <v/>
      </c>
      <c r="B572" t="str">
        <f>IF(livegame!$V$21,"",IF(livegame!$T$20,B572,A572))</f>
        <v/>
      </c>
    </row>
    <row r="573" spans="1:2">
      <c r="A573" t="str">
        <f>IF(livegame!$V$21,"",IF(A573&lt;&gt;"",A573,IF(AND(livegame!$T$20,livegame!$U$20&lt;&gt;"",B573="",B572&lt;&gt;""),livegame!$U$20,"")))</f>
        <v/>
      </c>
      <c r="B573" t="str">
        <f>IF(livegame!$V$21,"",IF(livegame!$T$20,B573,A573))</f>
        <v/>
      </c>
    </row>
    <row r="574" spans="1:2">
      <c r="A574" t="str">
        <f>IF(livegame!$V$21,"",IF(A574&lt;&gt;"",A574,IF(AND(livegame!$T$20,livegame!$U$20&lt;&gt;"",B574="",B573&lt;&gt;""),livegame!$U$20,"")))</f>
        <v/>
      </c>
      <c r="B574" t="str">
        <f>IF(livegame!$V$21,"",IF(livegame!$T$20,B574,A574))</f>
        <v/>
      </c>
    </row>
    <row r="575" spans="1:2">
      <c r="A575" t="str">
        <f>IF(livegame!$V$21,"",IF(A575&lt;&gt;"",A575,IF(AND(livegame!$T$20,livegame!$U$20&lt;&gt;"",B575="",B574&lt;&gt;""),livegame!$U$20,"")))</f>
        <v/>
      </c>
      <c r="B575" t="str">
        <f>IF(livegame!$V$21,"",IF(livegame!$T$20,B575,A575))</f>
        <v/>
      </c>
    </row>
    <row r="576" spans="1:2">
      <c r="A576" t="str">
        <f>IF(livegame!$V$21,"",IF(A576&lt;&gt;"",A576,IF(AND(livegame!$T$20,livegame!$U$20&lt;&gt;"",B576="",B575&lt;&gt;""),livegame!$U$20,"")))</f>
        <v/>
      </c>
      <c r="B576" t="str">
        <f>IF(livegame!$V$21,"",IF(livegame!$T$20,B576,A576))</f>
        <v/>
      </c>
    </row>
    <row r="577" spans="1:2">
      <c r="A577" t="str">
        <f>IF(livegame!$V$21,"",IF(A577&lt;&gt;"",A577,IF(AND(livegame!$T$20,livegame!$U$20&lt;&gt;"",B577="",B576&lt;&gt;""),livegame!$U$20,"")))</f>
        <v/>
      </c>
      <c r="B577" t="str">
        <f>IF(livegame!$V$21,"",IF(livegame!$T$20,B577,A577))</f>
        <v/>
      </c>
    </row>
    <row r="578" spans="1:2">
      <c r="A578" t="str">
        <f>IF(livegame!$V$21,"",IF(A578&lt;&gt;"",A578,IF(AND(livegame!$T$20,livegame!$U$20&lt;&gt;"",B578="",B577&lt;&gt;""),livegame!$U$20,"")))</f>
        <v/>
      </c>
      <c r="B578" t="str">
        <f>IF(livegame!$V$21,"",IF(livegame!$T$20,B578,A578))</f>
        <v/>
      </c>
    </row>
    <row r="579" spans="1:2">
      <c r="A579" t="str">
        <f>IF(livegame!$V$21,"",IF(A579&lt;&gt;"",A579,IF(AND(livegame!$T$20,livegame!$U$20&lt;&gt;"",B579="",B578&lt;&gt;""),livegame!$U$20,"")))</f>
        <v/>
      </c>
      <c r="B579" t="str">
        <f>IF(livegame!$V$21,"",IF(livegame!$T$20,B579,A579))</f>
        <v/>
      </c>
    </row>
    <row r="580" spans="1:2">
      <c r="A580" t="str">
        <f>IF(livegame!$V$21,"",IF(A580&lt;&gt;"",A580,IF(AND(livegame!$T$20,livegame!$U$20&lt;&gt;"",B580="",B579&lt;&gt;""),livegame!$U$20,"")))</f>
        <v/>
      </c>
      <c r="B580" t="str">
        <f>IF(livegame!$V$21,"",IF(livegame!$T$20,B580,A580))</f>
        <v/>
      </c>
    </row>
    <row r="581" spans="1:2">
      <c r="A581" t="str">
        <f>IF(livegame!$V$21,"",IF(A581&lt;&gt;"",A581,IF(AND(livegame!$T$20,livegame!$U$20&lt;&gt;"",B581="",B580&lt;&gt;""),livegame!$U$20,"")))</f>
        <v/>
      </c>
      <c r="B581" t="str">
        <f>IF(livegame!$V$21,"",IF(livegame!$T$20,B581,A581))</f>
        <v/>
      </c>
    </row>
    <row r="582" spans="1:2">
      <c r="A582" t="str">
        <f>IF(livegame!$V$21,"",IF(A582&lt;&gt;"",A582,IF(AND(livegame!$T$20,livegame!$U$20&lt;&gt;"",B582="",B581&lt;&gt;""),livegame!$U$20,"")))</f>
        <v/>
      </c>
      <c r="B582" t="str">
        <f>IF(livegame!$V$21,"",IF(livegame!$T$20,B582,A582))</f>
        <v/>
      </c>
    </row>
    <row r="583" spans="1:2">
      <c r="A583" t="str">
        <f>IF(livegame!$V$21,"",IF(A583&lt;&gt;"",A583,IF(AND(livegame!$T$20,livegame!$U$20&lt;&gt;"",B583="",B582&lt;&gt;""),livegame!$U$20,"")))</f>
        <v/>
      </c>
      <c r="B583" t="str">
        <f>IF(livegame!$V$21,"",IF(livegame!$T$20,B583,A583))</f>
        <v/>
      </c>
    </row>
    <row r="584" spans="1:2">
      <c r="A584" t="str">
        <f>IF(livegame!$V$21,"",IF(A584&lt;&gt;"",A584,IF(AND(livegame!$T$20,livegame!$U$20&lt;&gt;"",B584="",B583&lt;&gt;""),livegame!$U$20,"")))</f>
        <v/>
      </c>
      <c r="B584" t="str">
        <f>IF(livegame!$V$21,"",IF(livegame!$T$20,B584,A584))</f>
        <v/>
      </c>
    </row>
    <row r="585" spans="1:2">
      <c r="A585" t="str">
        <f>IF(livegame!$V$21,"",IF(A585&lt;&gt;"",A585,IF(AND(livegame!$T$20,livegame!$U$20&lt;&gt;"",B585="",B584&lt;&gt;""),livegame!$U$20,"")))</f>
        <v/>
      </c>
      <c r="B585" t="str">
        <f>IF(livegame!$V$21,"",IF(livegame!$T$20,B585,A585))</f>
        <v/>
      </c>
    </row>
    <row r="586" spans="1:2">
      <c r="A586" t="str">
        <f>IF(livegame!$V$21,"",IF(A586&lt;&gt;"",A586,IF(AND(livegame!$T$20,livegame!$U$20&lt;&gt;"",B586="",B585&lt;&gt;""),livegame!$U$20,"")))</f>
        <v/>
      </c>
      <c r="B586" t="str">
        <f>IF(livegame!$V$21,"",IF(livegame!$T$20,B586,A586))</f>
        <v/>
      </c>
    </row>
    <row r="587" spans="1:2">
      <c r="A587" t="str">
        <f>IF(livegame!$V$21,"",IF(A587&lt;&gt;"",A587,IF(AND(livegame!$T$20,livegame!$U$20&lt;&gt;"",B587="",B586&lt;&gt;""),livegame!$U$20,"")))</f>
        <v/>
      </c>
      <c r="B587" t="str">
        <f>IF(livegame!$V$21,"",IF(livegame!$T$20,B587,A587))</f>
        <v/>
      </c>
    </row>
    <row r="588" spans="1:2">
      <c r="A588" t="str">
        <f>IF(livegame!$V$21,"",IF(A588&lt;&gt;"",A588,IF(AND(livegame!$T$20,livegame!$U$20&lt;&gt;"",B588="",B587&lt;&gt;""),livegame!$U$20,"")))</f>
        <v/>
      </c>
      <c r="B588" t="str">
        <f>IF(livegame!$V$21,"",IF(livegame!$T$20,B588,A588))</f>
        <v/>
      </c>
    </row>
    <row r="589" spans="1:2">
      <c r="A589" t="str">
        <f>IF(livegame!$V$21,"",IF(A589&lt;&gt;"",A589,IF(AND(livegame!$T$20,livegame!$U$20&lt;&gt;"",B589="",B588&lt;&gt;""),livegame!$U$20,"")))</f>
        <v/>
      </c>
      <c r="B589" t="str">
        <f>IF(livegame!$V$21,"",IF(livegame!$T$20,B589,A589))</f>
        <v/>
      </c>
    </row>
    <row r="590" spans="1:2">
      <c r="A590" t="str">
        <f>IF(livegame!$V$21,"",IF(A590&lt;&gt;"",A590,IF(AND(livegame!$T$20,livegame!$U$20&lt;&gt;"",B590="",B589&lt;&gt;""),livegame!$U$20,"")))</f>
        <v/>
      </c>
      <c r="B590" t="str">
        <f>IF(livegame!$V$21,"",IF(livegame!$T$20,B590,A590))</f>
        <v/>
      </c>
    </row>
    <row r="591" spans="1:2">
      <c r="A591" t="str">
        <f>IF(livegame!$V$21,"",IF(A591&lt;&gt;"",A591,IF(AND(livegame!$T$20,livegame!$U$20&lt;&gt;"",B591="",B590&lt;&gt;""),livegame!$U$20,"")))</f>
        <v/>
      </c>
      <c r="B591" t="str">
        <f>IF(livegame!$V$21,"",IF(livegame!$T$20,B591,A591))</f>
        <v/>
      </c>
    </row>
    <row r="592" spans="1:2">
      <c r="A592" t="str">
        <f>IF(livegame!$V$21,"",IF(A592&lt;&gt;"",A592,IF(AND(livegame!$T$20,livegame!$U$20&lt;&gt;"",B592="",B591&lt;&gt;""),livegame!$U$20,"")))</f>
        <v/>
      </c>
      <c r="B592" t="str">
        <f>IF(livegame!$V$21,"",IF(livegame!$T$20,B592,A592))</f>
        <v/>
      </c>
    </row>
    <row r="593" spans="1:2">
      <c r="A593" t="str">
        <f>IF(livegame!$V$21,"",IF(A593&lt;&gt;"",A593,IF(AND(livegame!$T$20,livegame!$U$20&lt;&gt;"",B593="",B592&lt;&gt;""),livegame!$U$20,"")))</f>
        <v/>
      </c>
      <c r="B593" t="str">
        <f>IF(livegame!$V$21,"",IF(livegame!$T$20,B593,A593))</f>
        <v/>
      </c>
    </row>
    <row r="594" spans="1:2">
      <c r="A594" t="str">
        <f>IF(livegame!$V$21,"",IF(A594&lt;&gt;"",A594,IF(AND(livegame!$T$20,livegame!$U$20&lt;&gt;"",B594="",B593&lt;&gt;""),livegame!$U$20,"")))</f>
        <v/>
      </c>
      <c r="B594" t="str">
        <f>IF(livegame!$V$21,"",IF(livegame!$T$20,B594,A594))</f>
        <v/>
      </c>
    </row>
    <row r="595" spans="1:2">
      <c r="A595" t="str">
        <f>IF(livegame!$V$21,"",IF(A595&lt;&gt;"",A595,IF(AND(livegame!$T$20,livegame!$U$20&lt;&gt;"",B595="",B594&lt;&gt;""),livegame!$U$20,"")))</f>
        <v/>
      </c>
      <c r="B595" t="str">
        <f>IF(livegame!$V$21,"",IF(livegame!$T$20,B595,A595))</f>
        <v/>
      </c>
    </row>
    <row r="596" spans="1:2">
      <c r="A596" t="str">
        <f>IF(livegame!$V$21,"",IF(A596&lt;&gt;"",A596,IF(AND(livegame!$T$20,livegame!$U$20&lt;&gt;"",B596="",B595&lt;&gt;""),livegame!$U$20,"")))</f>
        <v/>
      </c>
      <c r="B596" t="str">
        <f>IF(livegame!$V$21,"",IF(livegame!$T$20,B596,A596))</f>
        <v/>
      </c>
    </row>
    <row r="597" spans="1:2">
      <c r="A597" t="str">
        <f>IF(livegame!$V$21,"",IF(A597&lt;&gt;"",A597,IF(AND(livegame!$T$20,livegame!$U$20&lt;&gt;"",B597="",B596&lt;&gt;""),livegame!$U$20,"")))</f>
        <v/>
      </c>
      <c r="B597" t="str">
        <f>IF(livegame!$V$21,"",IF(livegame!$T$20,B597,A597))</f>
        <v/>
      </c>
    </row>
    <row r="598" spans="1:2">
      <c r="A598" t="str">
        <f>IF(livegame!$V$21,"",IF(A598&lt;&gt;"",A598,IF(AND(livegame!$T$20,livegame!$U$20&lt;&gt;"",B598="",B597&lt;&gt;""),livegame!$U$20,"")))</f>
        <v/>
      </c>
      <c r="B598" t="str">
        <f>IF(livegame!$V$21,"",IF(livegame!$T$20,B598,A598))</f>
        <v/>
      </c>
    </row>
    <row r="599" spans="1:2">
      <c r="A599" t="str">
        <f>IF(livegame!$V$21,"",IF(A599&lt;&gt;"",A599,IF(AND(livegame!$T$20,livegame!$U$20&lt;&gt;"",B599="",B598&lt;&gt;""),livegame!$U$20,"")))</f>
        <v/>
      </c>
      <c r="B599" t="str">
        <f>IF(livegame!$V$21,"",IF(livegame!$T$20,B599,A599))</f>
        <v/>
      </c>
    </row>
    <row r="600" spans="1:2">
      <c r="A600" t="str">
        <f>IF(livegame!$V$21,"",IF(A600&lt;&gt;"",A600,IF(AND(livegame!$T$20,livegame!$U$20&lt;&gt;"",B600="",B599&lt;&gt;""),livegame!$U$20,"")))</f>
        <v/>
      </c>
      <c r="B600" t="str">
        <f>IF(livegame!$V$21,"",IF(livegame!$T$20,B600,A600))</f>
        <v/>
      </c>
    </row>
    <row r="601" spans="1:2">
      <c r="A601" t="str">
        <f>IF(livegame!$V$21,"",IF(A601&lt;&gt;"",A601,IF(AND(livegame!$T$20,livegame!$U$20&lt;&gt;"",B601="",B600&lt;&gt;""),livegame!$U$20,"")))</f>
        <v/>
      </c>
      <c r="B601" t="str">
        <f>IF(livegame!$V$21,"",IF(livegame!$T$20,B601,A601))</f>
        <v/>
      </c>
    </row>
    <row r="602" spans="1:2">
      <c r="A602" t="str">
        <f>IF(livegame!$V$21,"",IF(A602&lt;&gt;"",A602,IF(AND(livegame!$T$20,livegame!$U$20&lt;&gt;"",B602="",B601&lt;&gt;""),livegame!$U$20,"")))</f>
        <v/>
      </c>
      <c r="B602" t="str">
        <f>IF(livegame!$V$21,"",IF(livegame!$T$20,B602,A602))</f>
        <v/>
      </c>
    </row>
    <row r="603" spans="1:2">
      <c r="A603" t="str">
        <f>IF(livegame!$V$21,"",IF(A603&lt;&gt;"",A603,IF(AND(livegame!$T$20,livegame!$U$20&lt;&gt;"",B603="",B602&lt;&gt;""),livegame!$U$20,"")))</f>
        <v/>
      </c>
      <c r="B603" t="str">
        <f>IF(livegame!$V$21,"",IF(livegame!$T$20,B603,A603))</f>
        <v/>
      </c>
    </row>
    <row r="604" spans="1:2">
      <c r="A604" t="str">
        <f>IF(livegame!$V$21,"",IF(A604&lt;&gt;"",A604,IF(AND(livegame!$T$20,livegame!$U$20&lt;&gt;"",B604="",B603&lt;&gt;""),livegame!$U$20,"")))</f>
        <v/>
      </c>
      <c r="B604" t="str">
        <f>IF(livegame!$V$21,"",IF(livegame!$T$20,B604,A604))</f>
        <v/>
      </c>
    </row>
    <row r="605" spans="1:2">
      <c r="A605" t="str">
        <f>IF(livegame!$V$21,"",IF(A605&lt;&gt;"",A605,IF(AND(livegame!$T$20,livegame!$U$20&lt;&gt;"",B605="",B604&lt;&gt;""),livegame!$U$20,"")))</f>
        <v/>
      </c>
      <c r="B605" t="str">
        <f>IF(livegame!$V$21,"",IF(livegame!$T$20,B605,A605))</f>
        <v/>
      </c>
    </row>
    <row r="606" spans="1:2">
      <c r="A606" t="str">
        <f>IF(livegame!$V$21,"",IF(A606&lt;&gt;"",A606,IF(AND(livegame!$T$20,livegame!$U$20&lt;&gt;"",B606="",B605&lt;&gt;""),livegame!$U$20,"")))</f>
        <v/>
      </c>
      <c r="B606" t="str">
        <f>IF(livegame!$V$21,"",IF(livegame!$T$20,B606,A606))</f>
        <v/>
      </c>
    </row>
    <row r="607" spans="1:2">
      <c r="A607" t="str">
        <f>IF(livegame!$V$21,"",IF(A607&lt;&gt;"",A607,IF(AND(livegame!$T$20,livegame!$U$20&lt;&gt;"",B607="",B606&lt;&gt;""),livegame!$U$20,"")))</f>
        <v/>
      </c>
      <c r="B607" t="str">
        <f>IF(livegame!$V$21,"",IF(livegame!$T$20,B607,A607))</f>
        <v/>
      </c>
    </row>
    <row r="608" spans="1:2">
      <c r="A608" t="str">
        <f>IF(livegame!$V$21,"",IF(A608&lt;&gt;"",A608,IF(AND(livegame!$T$20,livegame!$U$20&lt;&gt;"",B608="",B607&lt;&gt;""),livegame!$U$20,"")))</f>
        <v/>
      </c>
      <c r="B608" t="str">
        <f>IF(livegame!$V$21,"",IF(livegame!$T$20,B608,A608))</f>
        <v/>
      </c>
    </row>
    <row r="609" spans="1:2">
      <c r="A609" t="str">
        <f>IF(livegame!$V$21,"",IF(A609&lt;&gt;"",A609,IF(AND(livegame!$T$20,livegame!$U$20&lt;&gt;"",B609="",B608&lt;&gt;""),livegame!$U$20,"")))</f>
        <v/>
      </c>
      <c r="B609" t="str">
        <f>IF(livegame!$V$21,"",IF(livegame!$T$20,B609,A609))</f>
        <v/>
      </c>
    </row>
    <row r="610" spans="1:2">
      <c r="A610" t="str">
        <f>IF(livegame!$V$21,"",IF(A610&lt;&gt;"",A610,IF(AND(livegame!$T$20,livegame!$U$20&lt;&gt;"",B610="",B609&lt;&gt;""),livegame!$U$20,"")))</f>
        <v/>
      </c>
      <c r="B610" t="str">
        <f>IF(livegame!$V$21,"",IF(livegame!$T$20,B610,A610))</f>
        <v/>
      </c>
    </row>
    <row r="611" spans="1:2">
      <c r="A611" t="str">
        <f>IF(livegame!$V$21,"",IF(A611&lt;&gt;"",A611,IF(AND(livegame!$T$20,livegame!$U$20&lt;&gt;"",B611="",B610&lt;&gt;""),livegame!$U$20,"")))</f>
        <v/>
      </c>
      <c r="B611" t="str">
        <f>IF(livegame!$V$21,"",IF(livegame!$T$20,B611,A611))</f>
        <v/>
      </c>
    </row>
    <row r="612" spans="1:2">
      <c r="A612" t="str">
        <f>IF(livegame!$V$21,"",IF(A612&lt;&gt;"",A612,IF(AND(livegame!$T$20,livegame!$U$20&lt;&gt;"",B612="",B611&lt;&gt;""),livegame!$U$20,"")))</f>
        <v/>
      </c>
      <c r="B612" t="str">
        <f>IF(livegame!$V$21,"",IF(livegame!$T$20,B612,A612))</f>
        <v/>
      </c>
    </row>
    <row r="613" spans="1:2">
      <c r="A613" t="str">
        <f>IF(livegame!$V$21,"",IF(A613&lt;&gt;"",A613,IF(AND(livegame!$T$20,livegame!$U$20&lt;&gt;"",B613="",B612&lt;&gt;""),livegame!$U$20,"")))</f>
        <v/>
      </c>
      <c r="B613" t="str">
        <f>IF(livegame!$V$21,"",IF(livegame!$T$20,B613,A613))</f>
        <v/>
      </c>
    </row>
    <row r="614" spans="1:2">
      <c r="A614" t="str">
        <f>IF(livegame!$V$21,"",IF(A614&lt;&gt;"",A614,IF(AND(livegame!$T$20,livegame!$U$20&lt;&gt;"",B614="",B613&lt;&gt;""),livegame!$U$20,"")))</f>
        <v/>
      </c>
      <c r="B614" t="str">
        <f>IF(livegame!$V$21,"",IF(livegame!$T$20,B614,A614))</f>
        <v/>
      </c>
    </row>
    <row r="615" spans="1:2">
      <c r="A615" t="str">
        <f>IF(livegame!$V$21,"",IF(A615&lt;&gt;"",A615,IF(AND(livegame!$T$20,livegame!$U$20&lt;&gt;"",B615="",B614&lt;&gt;""),livegame!$U$20,"")))</f>
        <v/>
      </c>
      <c r="B615" t="str">
        <f>IF(livegame!$V$21,"",IF(livegame!$T$20,B615,A615))</f>
        <v/>
      </c>
    </row>
    <row r="616" spans="1:2">
      <c r="A616" t="str">
        <f>IF(livegame!$V$21,"",IF(A616&lt;&gt;"",A616,IF(AND(livegame!$T$20,livegame!$U$20&lt;&gt;"",B616="",B615&lt;&gt;""),livegame!$U$20,"")))</f>
        <v/>
      </c>
      <c r="B616" t="str">
        <f>IF(livegame!$V$21,"",IF(livegame!$T$20,B616,A616))</f>
        <v/>
      </c>
    </row>
    <row r="617" spans="1:2">
      <c r="A617" t="str">
        <f>IF(livegame!$V$21,"",IF(A617&lt;&gt;"",A617,IF(AND(livegame!$T$20,livegame!$U$20&lt;&gt;"",B617="",B616&lt;&gt;""),livegame!$U$20,"")))</f>
        <v/>
      </c>
      <c r="B617" t="str">
        <f>IF(livegame!$V$21,"",IF(livegame!$T$20,B617,A617))</f>
        <v/>
      </c>
    </row>
    <row r="618" spans="1:2">
      <c r="A618" t="str">
        <f>IF(livegame!$V$21,"",IF(A618&lt;&gt;"",A618,IF(AND(livegame!$T$20,livegame!$U$20&lt;&gt;"",B618="",B617&lt;&gt;""),livegame!$U$20,"")))</f>
        <v/>
      </c>
      <c r="B618" t="str">
        <f>IF(livegame!$V$21,"",IF(livegame!$T$20,B618,A618))</f>
        <v/>
      </c>
    </row>
    <row r="619" spans="1:2">
      <c r="A619" t="str">
        <f>IF(livegame!$V$21,"",IF(A619&lt;&gt;"",A619,IF(AND(livegame!$T$20,livegame!$U$20&lt;&gt;"",B619="",B618&lt;&gt;""),livegame!$U$20,"")))</f>
        <v/>
      </c>
      <c r="B619" t="str">
        <f>IF(livegame!$V$21,"",IF(livegame!$T$20,B619,A619))</f>
        <v/>
      </c>
    </row>
    <row r="620" spans="1:2">
      <c r="A620" t="str">
        <f>IF(livegame!$V$21,"",IF(A620&lt;&gt;"",A620,IF(AND(livegame!$T$20,livegame!$U$20&lt;&gt;"",B620="",B619&lt;&gt;""),livegame!$U$20,"")))</f>
        <v/>
      </c>
      <c r="B620" t="str">
        <f>IF(livegame!$V$21,"",IF(livegame!$T$20,B620,A620))</f>
        <v/>
      </c>
    </row>
    <row r="621" spans="1:2">
      <c r="A621" t="str">
        <f>IF(livegame!$V$21,"",IF(A621&lt;&gt;"",A621,IF(AND(livegame!$T$20,livegame!$U$20&lt;&gt;"",B621="",B620&lt;&gt;""),livegame!$U$20,"")))</f>
        <v/>
      </c>
      <c r="B621" t="str">
        <f>IF(livegame!$V$21,"",IF(livegame!$T$20,B621,A621))</f>
        <v/>
      </c>
    </row>
    <row r="622" spans="1:2">
      <c r="A622" t="str">
        <f>IF(livegame!$V$21,"",IF(A622&lt;&gt;"",A622,IF(AND(livegame!$T$20,livegame!$U$20&lt;&gt;"",B622="",B621&lt;&gt;""),livegame!$U$20,"")))</f>
        <v/>
      </c>
      <c r="B622" t="str">
        <f>IF(livegame!$V$21,"",IF(livegame!$T$20,B622,A622))</f>
        <v/>
      </c>
    </row>
    <row r="623" spans="1:2">
      <c r="A623" t="str">
        <f>IF(livegame!$V$21,"",IF(A623&lt;&gt;"",A623,IF(AND(livegame!$T$20,livegame!$U$20&lt;&gt;"",B623="",B622&lt;&gt;""),livegame!$U$20,"")))</f>
        <v/>
      </c>
      <c r="B623" t="str">
        <f>IF(livegame!$V$21,"",IF(livegame!$T$20,B623,A623))</f>
        <v/>
      </c>
    </row>
    <row r="624" spans="1:2">
      <c r="A624" t="str">
        <f>IF(livegame!$V$21,"",IF(A624&lt;&gt;"",A624,IF(AND(livegame!$T$20,livegame!$U$20&lt;&gt;"",B624="",B623&lt;&gt;""),livegame!$U$20,"")))</f>
        <v/>
      </c>
      <c r="B624" t="str">
        <f>IF(livegame!$V$21,"",IF(livegame!$T$20,B624,A624))</f>
        <v/>
      </c>
    </row>
    <row r="625" spans="1:2">
      <c r="A625" t="str">
        <f>IF(livegame!$V$21,"",IF(A625&lt;&gt;"",A625,IF(AND(livegame!$T$20,livegame!$U$20&lt;&gt;"",B625="",B624&lt;&gt;""),livegame!$U$20,"")))</f>
        <v/>
      </c>
      <c r="B625" t="str">
        <f>IF(livegame!$V$21,"",IF(livegame!$T$20,B625,A625))</f>
        <v/>
      </c>
    </row>
    <row r="626" spans="1:2">
      <c r="A626" t="str">
        <f>IF(livegame!$V$21,"",IF(A626&lt;&gt;"",A626,IF(AND(livegame!$T$20,livegame!$U$20&lt;&gt;"",B626="",B625&lt;&gt;""),livegame!$U$20,"")))</f>
        <v/>
      </c>
      <c r="B626" t="str">
        <f>IF(livegame!$V$21,"",IF(livegame!$T$20,B626,A626))</f>
        <v/>
      </c>
    </row>
    <row r="627" spans="1:2">
      <c r="A627" t="str">
        <f>IF(livegame!$V$21,"",IF(A627&lt;&gt;"",A627,IF(AND(livegame!$T$20,livegame!$U$20&lt;&gt;"",B627="",B626&lt;&gt;""),livegame!$U$20,"")))</f>
        <v/>
      </c>
      <c r="B627" t="str">
        <f>IF(livegame!$V$21,"",IF(livegame!$T$20,B627,A627))</f>
        <v/>
      </c>
    </row>
    <row r="628" spans="1:2">
      <c r="A628" t="str">
        <f>IF(livegame!$V$21,"",IF(A628&lt;&gt;"",A628,IF(AND(livegame!$T$20,livegame!$U$20&lt;&gt;"",B628="",B627&lt;&gt;""),livegame!$U$20,"")))</f>
        <v/>
      </c>
      <c r="B628" t="str">
        <f>IF(livegame!$V$21,"",IF(livegame!$T$20,B628,A628))</f>
        <v/>
      </c>
    </row>
    <row r="629" spans="1:2">
      <c r="A629" t="str">
        <f>IF(livegame!$V$21,"",IF(A629&lt;&gt;"",A629,IF(AND(livegame!$T$20,livegame!$U$20&lt;&gt;"",B629="",B628&lt;&gt;""),livegame!$U$20,"")))</f>
        <v/>
      </c>
      <c r="B629" t="str">
        <f>IF(livegame!$V$21,"",IF(livegame!$T$20,B629,A629))</f>
        <v/>
      </c>
    </row>
    <row r="630" spans="1:2">
      <c r="A630" t="str">
        <f>IF(livegame!$V$21,"",IF(A630&lt;&gt;"",A630,IF(AND(livegame!$T$20,livegame!$U$20&lt;&gt;"",B630="",B629&lt;&gt;""),livegame!$U$20,"")))</f>
        <v/>
      </c>
      <c r="B630" t="str">
        <f>IF(livegame!$V$21,"",IF(livegame!$T$20,B630,A630))</f>
        <v/>
      </c>
    </row>
    <row r="631" spans="1:2">
      <c r="A631" t="str">
        <f>IF(livegame!$V$21,"",IF(A631&lt;&gt;"",A631,IF(AND(livegame!$T$20,livegame!$U$20&lt;&gt;"",B631="",B630&lt;&gt;""),livegame!$U$20,"")))</f>
        <v/>
      </c>
      <c r="B631" t="str">
        <f>IF(livegame!$V$21,"",IF(livegame!$T$20,B631,A631))</f>
        <v/>
      </c>
    </row>
    <row r="632" spans="1:2">
      <c r="A632" t="str">
        <f>IF(livegame!$V$21,"",IF(A632&lt;&gt;"",A632,IF(AND(livegame!$T$20,livegame!$U$20&lt;&gt;"",B632="",B631&lt;&gt;""),livegame!$U$20,"")))</f>
        <v/>
      </c>
      <c r="B632" t="str">
        <f>IF(livegame!$V$21,"",IF(livegame!$T$20,B632,A632))</f>
        <v/>
      </c>
    </row>
    <row r="633" spans="1:2">
      <c r="A633" t="str">
        <f>IF(livegame!$V$21,"",IF(A633&lt;&gt;"",A633,IF(AND(livegame!$T$20,livegame!$U$20&lt;&gt;"",B633="",B632&lt;&gt;""),livegame!$U$20,"")))</f>
        <v/>
      </c>
      <c r="B633" t="str">
        <f>IF(livegame!$V$21,"",IF(livegame!$T$20,B633,A633))</f>
        <v/>
      </c>
    </row>
    <row r="634" spans="1:2">
      <c r="A634" t="str">
        <f>IF(livegame!$V$21,"",IF(A634&lt;&gt;"",A634,IF(AND(livegame!$T$20,livegame!$U$20&lt;&gt;"",B634="",B633&lt;&gt;""),livegame!$U$20,"")))</f>
        <v/>
      </c>
      <c r="B634" t="str">
        <f>IF(livegame!$V$21,"",IF(livegame!$T$20,B634,A634))</f>
        <v/>
      </c>
    </row>
    <row r="635" spans="1:2">
      <c r="A635" t="str">
        <f>IF(livegame!$V$21,"",IF(A635&lt;&gt;"",A635,IF(AND(livegame!$T$20,livegame!$U$20&lt;&gt;"",B635="",B634&lt;&gt;""),livegame!$U$20,"")))</f>
        <v/>
      </c>
      <c r="B635" t="str">
        <f>IF(livegame!$V$21,"",IF(livegame!$T$20,B635,A635))</f>
        <v/>
      </c>
    </row>
    <row r="636" spans="1:2">
      <c r="A636" t="str">
        <f>IF(livegame!$V$21,"",IF(A636&lt;&gt;"",A636,IF(AND(livegame!$T$20,livegame!$U$20&lt;&gt;"",B636="",B635&lt;&gt;""),livegame!$U$20,"")))</f>
        <v/>
      </c>
      <c r="B636" t="str">
        <f>IF(livegame!$V$21,"",IF(livegame!$T$20,B636,A636))</f>
        <v/>
      </c>
    </row>
    <row r="637" spans="1:2">
      <c r="A637" t="str">
        <f>IF(livegame!$V$21,"",IF(A637&lt;&gt;"",A637,IF(AND(livegame!$T$20,livegame!$U$20&lt;&gt;"",B637="",B636&lt;&gt;""),livegame!$U$20,"")))</f>
        <v/>
      </c>
      <c r="B637" t="str">
        <f>IF(livegame!$V$21,"",IF(livegame!$T$20,B637,A637))</f>
        <v/>
      </c>
    </row>
    <row r="638" spans="1:2">
      <c r="A638" t="str">
        <f>IF(livegame!$V$21,"",IF(A638&lt;&gt;"",A638,IF(AND(livegame!$T$20,livegame!$U$20&lt;&gt;"",B638="",B637&lt;&gt;""),livegame!$U$20,"")))</f>
        <v/>
      </c>
      <c r="B638" t="str">
        <f>IF(livegame!$V$21,"",IF(livegame!$T$20,B638,A638))</f>
        <v/>
      </c>
    </row>
    <row r="639" spans="1:2">
      <c r="A639" t="str">
        <f>IF(livegame!$V$21,"",IF(A639&lt;&gt;"",A639,IF(AND(livegame!$T$20,livegame!$U$20&lt;&gt;"",B639="",B638&lt;&gt;""),livegame!$U$20,"")))</f>
        <v/>
      </c>
      <c r="B639" t="str">
        <f>IF(livegame!$V$21,"",IF(livegame!$T$20,B639,A639))</f>
        <v/>
      </c>
    </row>
    <row r="640" spans="1:2">
      <c r="A640" t="str">
        <f>IF(livegame!$V$21,"",IF(A640&lt;&gt;"",A640,IF(AND(livegame!$T$20,livegame!$U$20&lt;&gt;"",B640="",B639&lt;&gt;""),livegame!$U$20,"")))</f>
        <v/>
      </c>
      <c r="B640" t="str">
        <f>IF(livegame!$V$21,"",IF(livegame!$T$20,B640,A640))</f>
        <v/>
      </c>
    </row>
    <row r="641" spans="1:2">
      <c r="A641" t="str">
        <f>IF(livegame!$V$21,"",IF(A641&lt;&gt;"",A641,IF(AND(livegame!$T$20,livegame!$U$20&lt;&gt;"",B641="",B640&lt;&gt;""),livegame!$U$20,"")))</f>
        <v/>
      </c>
      <c r="B641" t="str">
        <f>IF(livegame!$V$21,"",IF(livegame!$T$20,B641,A641))</f>
        <v/>
      </c>
    </row>
    <row r="642" spans="1:2">
      <c r="A642" t="str">
        <f>IF(livegame!$V$21,"",IF(A642&lt;&gt;"",A642,IF(AND(livegame!$T$20,livegame!$U$20&lt;&gt;"",B642="",B641&lt;&gt;""),livegame!$U$20,"")))</f>
        <v/>
      </c>
      <c r="B642" t="str">
        <f>IF(livegame!$V$21,"",IF(livegame!$T$20,B642,A642))</f>
        <v/>
      </c>
    </row>
    <row r="643" spans="1:2">
      <c r="A643" t="str">
        <f>IF(livegame!$V$21,"",IF(A643&lt;&gt;"",A643,IF(AND(livegame!$T$20,livegame!$U$20&lt;&gt;"",B643="",B642&lt;&gt;""),livegame!$U$20,"")))</f>
        <v/>
      </c>
      <c r="B643" t="str">
        <f>IF(livegame!$V$21,"",IF(livegame!$T$20,B643,A643))</f>
        <v/>
      </c>
    </row>
    <row r="644" spans="1:2">
      <c r="A644" t="str">
        <f>IF(livegame!$V$21,"",IF(A644&lt;&gt;"",A644,IF(AND(livegame!$T$20,livegame!$U$20&lt;&gt;"",B644="",B643&lt;&gt;""),livegame!$U$20,"")))</f>
        <v/>
      </c>
      <c r="B644" t="str">
        <f>IF(livegame!$V$21,"",IF(livegame!$T$20,B644,A644))</f>
        <v/>
      </c>
    </row>
    <row r="645" spans="1:2">
      <c r="A645" t="str">
        <f>IF(livegame!$V$21,"",IF(A645&lt;&gt;"",A645,IF(AND(livegame!$T$20,livegame!$U$20&lt;&gt;"",B645="",B644&lt;&gt;""),livegame!$U$20,"")))</f>
        <v/>
      </c>
      <c r="B645" t="str">
        <f>IF(livegame!$V$21,"",IF(livegame!$T$20,B645,A645))</f>
        <v/>
      </c>
    </row>
    <row r="646" spans="1:2">
      <c r="A646" t="str">
        <f>IF(livegame!$V$21,"",IF(A646&lt;&gt;"",A646,IF(AND(livegame!$T$20,livegame!$U$20&lt;&gt;"",B646="",B645&lt;&gt;""),livegame!$U$20,"")))</f>
        <v/>
      </c>
      <c r="B646" t="str">
        <f>IF(livegame!$V$21,"",IF(livegame!$T$20,B646,A646))</f>
        <v/>
      </c>
    </row>
    <row r="647" spans="1:2">
      <c r="A647" t="str">
        <f>IF(livegame!$V$21,"",IF(A647&lt;&gt;"",A647,IF(AND(livegame!$T$20,livegame!$U$20&lt;&gt;"",B647="",B646&lt;&gt;""),livegame!$U$20,"")))</f>
        <v/>
      </c>
      <c r="B647" t="str">
        <f>IF(livegame!$V$21,"",IF(livegame!$T$20,B647,A647))</f>
        <v/>
      </c>
    </row>
    <row r="648" spans="1:2">
      <c r="A648" t="str">
        <f>IF(livegame!$V$21,"",IF(A648&lt;&gt;"",A648,IF(AND(livegame!$T$20,livegame!$U$20&lt;&gt;"",B648="",B647&lt;&gt;""),livegame!$U$20,"")))</f>
        <v/>
      </c>
      <c r="B648" t="str">
        <f>IF(livegame!$V$21,"",IF(livegame!$T$20,B648,A648))</f>
        <v/>
      </c>
    </row>
    <row r="649" spans="1:2">
      <c r="A649" t="str">
        <f>IF(livegame!$V$21,"",IF(A649&lt;&gt;"",A649,IF(AND(livegame!$T$20,livegame!$U$20&lt;&gt;"",B649="",B648&lt;&gt;""),livegame!$U$20,"")))</f>
        <v/>
      </c>
      <c r="B649" t="str">
        <f>IF(livegame!$V$21,"",IF(livegame!$T$20,B649,A649))</f>
        <v/>
      </c>
    </row>
    <row r="650" spans="1:2">
      <c r="A650" t="str">
        <f>IF(livegame!$V$21,"",IF(A650&lt;&gt;"",A650,IF(AND(livegame!$T$20,livegame!$U$20&lt;&gt;"",B650="",B649&lt;&gt;""),livegame!$U$20,"")))</f>
        <v/>
      </c>
      <c r="B650" t="str">
        <f>IF(livegame!$V$21,"",IF(livegame!$T$20,B650,A650))</f>
        <v/>
      </c>
    </row>
    <row r="651" spans="1:2">
      <c r="A651" t="str">
        <f>IF(livegame!$V$21,"",IF(A651&lt;&gt;"",A651,IF(AND(livegame!$T$20,livegame!$U$20&lt;&gt;"",B651="",B650&lt;&gt;""),livegame!$U$20,"")))</f>
        <v/>
      </c>
      <c r="B651" t="str">
        <f>IF(livegame!$V$21,"",IF(livegame!$T$20,B651,A651))</f>
        <v/>
      </c>
    </row>
    <row r="652" spans="1:2">
      <c r="A652" t="str">
        <f>IF(livegame!$V$21,"",IF(A652&lt;&gt;"",A652,IF(AND(livegame!$T$20,livegame!$U$20&lt;&gt;"",B652="",B651&lt;&gt;""),livegame!$U$20,"")))</f>
        <v/>
      </c>
      <c r="B652" t="str">
        <f>IF(livegame!$V$21,"",IF(livegame!$T$20,B652,A652))</f>
        <v/>
      </c>
    </row>
    <row r="653" spans="1:2">
      <c r="A653" t="str">
        <f>IF(livegame!$V$21,"",IF(A653&lt;&gt;"",A653,IF(AND(livegame!$T$20,livegame!$U$20&lt;&gt;"",B653="",B652&lt;&gt;""),livegame!$U$20,"")))</f>
        <v/>
      </c>
      <c r="B653" t="str">
        <f>IF(livegame!$V$21,"",IF(livegame!$T$20,B653,A653))</f>
        <v/>
      </c>
    </row>
    <row r="654" spans="1:2">
      <c r="A654" t="str">
        <f>IF(livegame!$V$21,"",IF(A654&lt;&gt;"",A654,IF(AND(livegame!$T$20,livegame!$U$20&lt;&gt;"",B654="",B653&lt;&gt;""),livegame!$U$20,"")))</f>
        <v/>
      </c>
      <c r="B654" t="str">
        <f>IF(livegame!$V$21,"",IF(livegame!$T$20,B654,A654))</f>
        <v/>
      </c>
    </row>
    <row r="655" spans="1:2">
      <c r="A655" t="str">
        <f>IF(livegame!$V$21,"",IF(A655&lt;&gt;"",A655,IF(AND(livegame!$T$20,livegame!$U$20&lt;&gt;"",B655="",B654&lt;&gt;""),livegame!$U$20,"")))</f>
        <v/>
      </c>
      <c r="B655" t="str">
        <f>IF(livegame!$V$21,"",IF(livegame!$T$20,B655,A655))</f>
        <v/>
      </c>
    </row>
    <row r="656" spans="1:2">
      <c r="A656" t="str">
        <f>IF(livegame!$V$21,"",IF(A656&lt;&gt;"",A656,IF(AND(livegame!$T$20,livegame!$U$20&lt;&gt;"",B656="",B655&lt;&gt;""),livegame!$U$20,"")))</f>
        <v/>
      </c>
      <c r="B656" t="str">
        <f>IF(livegame!$V$21,"",IF(livegame!$T$20,B656,A656))</f>
        <v/>
      </c>
    </row>
    <row r="657" spans="1:2">
      <c r="A657" t="str">
        <f>IF(livegame!$V$21,"",IF(A657&lt;&gt;"",A657,IF(AND(livegame!$T$20,livegame!$U$20&lt;&gt;"",B657="",B656&lt;&gt;""),livegame!$U$20,"")))</f>
        <v/>
      </c>
      <c r="B657" t="str">
        <f>IF(livegame!$V$21,"",IF(livegame!$T$20,B657,A657))</f>
        <v/>
      </c>
    </row>
    <row r="658" spans="1:2">
      <c r="A658" t="str">
        <f>IF(livegame!$V$21,"",IF(A658&lt;&gt;"",A658,IF(AND(livegame!$T$20,livegame!$U$20&lt;&gt;"",B658="",B657&lt;&gt;""),livegame!$U$20,"")))</f>
        <v/>
      </c>
      <c r="B658" t="str">
        <f>IF(livegame!$V$21,"",IF(livegame!$T$20,B658,A658))</f>
        <v/>
      </c>
    </row>
    <row r="659" spans="1:2">
      <c r="A659" t="str">
        <f>IF(livegame!$V$21,"",IF(A659&lt;&gt;"",A659,IF(AND(livegame!$T$20,livegame!$U$20&lt;&gt;"",B659="",B658&lt;&gt;""),livegame!$U$20,"")))</f>
        <v/>
      </c>
      <c r="B659" t="str">
        <f>IF(livegame!$V$21,"",IF(livegame!$T$20,B659,A659))</f>
        <v/>
      </c>
    </row>
    <row r="660" spans="1:2">
      <c r="A660" t="str">
        <f>IF(livegame!$V$21,"",IF(A660&lt;&gt;"",A660,IF(AND(livegame!$T$20,livegame!$U$20&lt;&gt;"",B660="",B659&lt;&gt;""),livegame!$U$20,"")))</f>
        <v/>
      </c>
      <c r="B660" t="str">
        <f>IF(livegame!$V$21,"",IF(livegame!$T$20,B660,A660))</f>
        <v/>
      </c>
    </row>
    <row r="661" spans="1:2">
      <c r="A661" t="str">
        <f>IF(livegame!$V$21,"",IF(A661&lt;&gt;"",A661,IF(AND(livegame!$T$20,livegame!$U$20&lt;&gt;"",B661="",B660&lt;&gt;""),livegame!$U$20,"")))</f>
        <v/>
      </c>
      <c r="B661" t="str">
        <f>IF(livegame!$V$21,"",IF(livegame!$T$20,B661,A661))</f>
        <v/>
      </c>
    </row>
    <row r="662" spans="1:2">
      <c r="A662" t="str">
        <f>IF(livegame!$V$21,"",IF(A662&lt;&gt;"",A662,IF(AND(livegame!$T$20,livegame!$U$20&lt;&gt;"",B662="",B661&lt;&gt;""),livegame!$U$20,"")))</f>
        <v/>
      </c>
      <c r="B662" t="str">
        <f>IF(livegame!$V$21,"",IF(livegame!$T$20,B662,A662))</f>
        <v/>
      </c>
    </row>
    <row r="663" spans="1:2">
      <c r="A663" t="str">
        <f>IF(livegame!$V$21,"",IF(A663&lt;&gt;"",A663,IF(AND(livegame!$T$20,livegame!$U$20&lt;&gt;"",B663="",B662&lt;&gt;""),livegame!$U$20,"")))</f>
        <v/>
      </c>
      <c r="B663" t="str">
        <f>IF(livegame!$V$21,"",IF(livegame!$T$20,B663,A663))</f>
        <v/>
      </c>
    </row>
    <row r="664" spans="1:2">
      <c r="A664" t="str">
        <f>IF(livegame!$V$21,"",IF(A664&lt;&gt;"",A664,IF(AND(livegame!$T$20,livegame!$U$20&lt;&gt;"",B664="",B663&lt;&gt;""),livegame!$U$20,"")))</f>
        <v/>
      </c>
      <c r="B664" t="str">
        <f>IF(livegame!$V$21,"",IF(livegame!$T$20,B664,A664))</f>
        <v/>
      </c>
    </row>
    <row r="665" spans="1:2">
      <c r="A665" t="str">
        <f>IF(livegame!$V$21,"",IF(A665&lt;&gt;"",A665,IF(AND(livegame!$T$20,livegame!$U$20&lt;&gt;"",B665="",B664&lt;&gt;""),livegame!$U$20,"")))</f>
        <v/>
      </c>
      <c r="B665" t="str">
        <f>IF(livegame!$V$21,"",IF(livegame!$T$20,B665,A665))</f>
        <v/>
      </c>
    </row>
    <row r="666" spans="1:2">
      <c r="A666" t="str">
        <f>IF(livegame!$V$21,"",IF(A666&lt;&gt;"",A666,IF(AND(livegame!$T$20,livegame!$U$20&lt;&gt;"",B666="",B665&lt;&gt;""),livegame!$U$20,"")))</f>
        <v/>
      </c>
      <c r="B666" t="str">
        <f>IF(livegame!$V$21,"",IF(livegame!$T$20,B666,A666))</f>
        <v/>
      </c>
    </row>
    <row r="667" spans="1:2">
      <c r="A667" t="str">
        <f>IF(livegame!$V$21,"",IF(A667&lt;&gt;"",A667,IF(AND(livegame!$T$20,livegame!$U$20&lt;&gt;"",B667="",B666&lt;&gt;""),livegame!$U$20,"")))</f>
        <v/>
      </c>
      <c r="B667" t="str">
        <f>IF(livegame!$V$21,"",IF(livegame!$T$20,B667,A667))</f>
        <v/>
      </c>
    </row>
    <row r="668" spans="1:2">
      <c r="A668" t="str">
        <f>IF(livegame!$V$21,"",IF(A668&lt;&gt;"",A668,IF(AND(livegame!$T$20,livegame!$U$20&lt;&gt;"",B668="",B667&lt;&gt;""),livegame!$U$20,"")))</f>
        <v/>
      </c>
      <c r="B668" t="str">
        <f>IF(livegame!$V$21,"",IF(livegame!$T$20,B668,A668))</f>
        <v/>
      </c>
    </row>
    <row r="669" spans="1:2">
      <c r="A669" t="str">
        <f>IF(livegame!$V$21,"",IF(A669&lt;&gt;"",A669,IF(AND(livegame!$T$20,livegame!$U$20&lt;&gt;"",B669="",B668&lt;&gt;""),livegame!$U$20,"")))</f>
        <v/>
      </c>
      <c r="B669" t="str">
        <f>IF(livegame!$V$21,"",IF(livegame!$T$20,B669,A669))</f>
        <v/>
      </c>
    </row>
    <row r="670" spans="1:2">
      <c r="A670" t="str">
        <f>IF(livegame!$V$21,"",IF(A670&lt;&gt;"",A670,IF(AND(livegame!$T$20,livegame!$U$20&lt;&gt;"",B670="",B669&lt;&gt;""),livegame!$U$20,"")))</f>
        <v/>
      </c>
      <c r="B670" t="str">
        <f>IF(livegame!$V$21,"",IF(livegame!$T$20,B670,A670))</f>
        <v/>
      </c>
    </row>
    <row r="671" spans="1:2">
      <c r="A671" t="str">
        <f>IF(livegame!$V$21,"",IF(A671&lt;&gt;"",A671,IF(AND(livegame!$T$20,livegame!$U$20&lt;&gt;"",B671="",B670&lt;&gt;""),livegame!$U$20,"")))</f>
        <v/>
      </c>
      <c r="B671" t="str">
        <f>IF(livegame!$V$21,"",IF(livegame!$T$20,B671,A671))</f>
        <v/>
      </c>
    </row>
    <row r="672" spans="1:2">
      <c r="A672" t="str">
        <f>IF(livegame!$V$21,"",IF(A672&lt;&gt;"",A672,IF(AND(livegame!$T$20,livegame!$U$20&lt;&gt;"",B672="",B671&lt;&gt;""),livegame!$U$20,"")))</f>
        <v/>
      </c>
      <c r="B672" t="str">
        <f>IF(livegame!$V$21,"",IF(livegame!$T$20,B672,A672))</f>
        <v/>
      </c>
    </row>
    <row r="673" spans="1:2">
      <c r="A673" t="str">
        <f>IF(livegame!$V$21,"",IF(A673&lt;&gt;"",A673,IF(AND(livegame!$T$20,livegame!$U$20&lt;&gt;"",B673="",B672&lt;&gt;""),livegame!$U$20,"")))</f>
        <v/>
      </c>
      <c r="B673" t="str">
        <f>IF(livegame!$V$21,"",IF(livegame!$T$20,B673,A673))</f>
        <v/>
      </c>
    </row>
    <row r="674" spans="1:2">
      <c r="A674" t="str">
        <f>IF(livegame!$V$21,"",IF(A674&lt;&gt;"",A674,IF(AND(livegame!$T$20,livegame!$U$20&lt;&gt;"",B674="",B673&lt;&gt;""),livegame!$U$20,"")))</f>
        <v/>
      </c>
      <c r="B674" t="str">
        <f>IF(livegame!$V$21,"",IF(livegame!$T$20,B674,A674))</f>
        <v/>
      </c>
    </row>
    <row r="675" spans="1:2">
      <c r="A675" t="str">
        <f>IF(livegame!$V$21,"",IF(A675&lt;&gt;"",A675,IF(AND(livegame!$T$20,livegame!$U$20&lt;&gt;"",B675="",B674&lt;&gt;""),livegame!$U$20,"")))</f>
        <v/>
      </c>
      <c r="B675" t="str">
        <f>IF(livegame!$V$21,"",IF(livegame!$T$20,B675,A675))</f>
        <v/>
      </c>
    </row>
    <row r="676" spans="1:2">
      <c r="A676" t="str">
        <f>IF(livegame!$V$21,"",IF(A676&lt;&gt;"",A676,IF(AND(livegame!$T$20,livegame!$U$20&lt;&gt;"",B676="",B675&lt;&gt;""),livegame!$U$20,"")))</f>
        <v/>
      </c>
      <c r="B676" t="str">
        <f>IF(livegame!$V$21,"",IF(livegame!$T$20,B676,A676))</f>
        <v/>
      </c>
    </row>
    <row r="677" spans="1:2">
      <c r="A677" t="str">
        <f>IF(livegame!$V$21,"",IF(A677&lt;&gt;"",A677,IF(AND(livegame!$T$20,livegame!$U$20&lt;&gt;"",B677="",B676&lt;&gt;""),livegame!$U$20,"")))</f>
        <v/>
      </c>
      <c r="B677" t="str">
        <f>IF(livegame!$V$21,"",IF(livegame!$T$20,B677,A677))</f>
        <v/>
      </c>
    </row>
    <row r="678" spans="1:2">
      <c r="A678" t="str">
        <f>IF(livegame!$V$21,"",IF(A678&lt;&gt;"",A678,IF(AND(livegame!$T$20,livegame!$U$20&lt;&gt;"",B678="",B677&lt;&gt;""),livegame!$U$20,"")))</f>
        <v/>
      </c>
      <c r="B678" t="str">
        <f>IF(livegame!$V$21,"",IF(livegame!$T$20,B678,A678))</f>
        <v/>
      </c>
    </row>
    <row r="679" spans="1:2">
      <c r="A679" t="str">
        <f>IF(livegame!$V$21,"",IF(A679&lt;&gt;"",A679,IF(AND(livegame!$T$20,livegame!$U$20&lt;&gt;"",B679="",B678&lt;&gt;""),livegame!$U$20,"")))</f>
        <v/>
      </c>
      <c r="B679" t="str">
        <f>IF(livegame!$V$21,"",IF(livegame!$T$20,B679,A679))</f>
        <v/>
      </c>
    </row>
    <row r="680" spans="1:2">
      <c r="A680" t="str">
        <f>IF(livegame!$V$21,"",IF(A680&lt;&gt;"",A680,IF(AND(livegame!$T$20,livegame!$U$20&lt;&gt;"",B680="",B679&lt;&gt;""),livegame!$U$20,"")))</f>
        <v/>
      </c>
      <c r="B680" t="str">
        <f>IF(livegame!$V$21,"",IF(livegame!$T$20,B680,A680))</f>
        <v/>
      </c>
    </row>
    <row r="681" spans="1:2">
      <c r="A681" t="str">
        <f>IF(livegame!$V$21,"",IF(A681&lt;&gt;"",A681,IF(AND(livegame!$T$20,livegame!$U$20&lt;&gt;"",B681="",B680&lt;&gt;""),livegame!$U$20,"")))</f>
        <v/>
      </c>
      <c r="B681" t="str">
        <f>IF(livegame!$V$21,"",IF(livegame!$T$20,B681,A681))</f>
        <v/>
      </c>
    </row>
    <row r="682" spans="1:2">
      <c r="A682" t="str">
        <f>IF(livegame!$V$21,"",IF(A682&lt;&gt;"",A682,IF(AND(livegame!$T$20,livegame!$U$20&lt;&gt;"",B682="",B681&lt;&gt;""),livegame!$U$20,"")))</f>
        <v/>
      </c>
      <c r="B682" t="str">
        <f>IF(livegame!$V$21,"",IF(livegame!$T$20,B682,A682))</f>
        <v/>
      </c>
    </row>
    <row r="683" spans="1:2">
      <c r="A683" t="str">
        <f>IF(livegame!$V$21,"",IF(A683&lt;&gt;"",A683,IF(AND(livegame!$T$20,livegame!$U$20&lt;&gt;"",B683="",B682&lt;&gt;""),livegame!$U$20,"")))</f>
        <v/>
      </c>
      <c r="B683" t="str">
        <f>IF(livegame!$V$21,"",IF(livegame!$T$20,B683,A683))</f>
        <v/>
      </c>
    </row>
    <row r="684" spans="1:2">
      <c r="A684" t="str">
        <f>IF(livegame!$V$21,"",IF(A684&lt;&gt;"",A684,IF(AND(livegame!$T$20,livegame!$U$20&lt;&gt;"",B684="",B683&lt;&gt;""),livegame!$U$20,"")))</f>
        <v/>
      </c>
      <c r="B684" t="str">
        <f>IF(livegame!$V$21,"",IF(livegame!$T$20,B684,A684))</f>
        <v/>
      </c>
    </row>
    <row r="685" spans="1:2">
      <c r="A685" t="str">
        <f>IF(livegame!$V$21,"",IF(A685&lt;&gt;"",A685,IF(AND(livegame!$T$20,livegame!$U$20&lt;&gt;"",B685="",B684&lt;&gt;""),livegame!$U$20,"")))</f>
        <v/>
      </c>
      <c r="B685" t="str">
        <f>IF(livegame!$V$21,"",IF(livegame!$T$20,B685,A685))</f>
        <v/>
      </c>
    </row>
    <row r="686" spans="1:2">
      <c r="A686" t="str">
        <f>IF(livegame!$V$21,"",IF(A686&lt;&gt;"",A686,IF(AND(livegame!$T$20,livegame!$U$20&lt;&gt;"",B686="",B685&lt;&gt;""),livegame!$U$20,"")))</f>
        <v/>
      </c>
      <c r="B686" t="str">
        <f>IF(livegame!$V$21,"",IF(livegame!$T$20,B686,A686))</f>
        <v/>
      </c>
    </row>
    <row r="687" spans="1:2">
      <c r="A687" t="str">
        <f>IF(livegame!$V$21,"",IF(A687&lt;&gt;"",A687,IF(AND(livegame!$T$20,livegame!$U$20&lt;&gt;"",B687="",B686&lt;&gt;""),livegame!$U$20,"")))</f>
        <v/>
      </c>
      <c r="B687" t="str">
        <f>IF(livegame!$V$21,"",IF(livegame!$T$20,B687,A687))</f>
        <v/>
      </c>
    </row>
    <row r="688" spans="1:2">
      <c r="A688" t="str">
        <f>IF(livegame!$V$21,"",IF(A688&lt;&gt;"",A688,IF(AND(livegame!$T$20,livegame!$U$20&lt;&gt;"",B688="",B687&lt;&gt;""),livegame!$U$20,"")))</f>
        <v/>
      </c>
      <c r="B688" t="str">
        <f>IF(livegame!$V$21,"",IF(livegame!$T$20,B688,A688))</f>
        <v/>
      </c>
    </row>
    <row r="689" spans="1:2">
      <c r="A689" t="str">
        <f>IF(livegame!$V$21,"",IF(A689&lt;&gt;"",A689,IF(AND(livegame!$T$20,livegame!$U$20&lt;&gt;"",B689="",B688&lt;&gt;""),livegame!$U$20,"")))</f>
        <v/>
      </c>
      <c r="B689" t="str">
        <f>IF(livegame!$V$21,"",IF(livegame!$T$20,B689,A689))</f>
        <v/>
      </c>
    </row>
    <row r="690" spans="1:2">
      <c r="A690" t="str">
        <f>IF(livegame!$V$21,"",IF(A690&lt;&gt;"",A690,IF(AND(livegame!$T$20,livegame!$U$20&lt;&gt;"",B690="",B689&lt;&gt;""),livegame!$U$20,"")))</f>
        <v/>
      </c>
      <c r="B690" t="str">
        <f>IF(livegame!$V$21,"",IF(livegame!$T$20,B690,A690))</f>
        <v/>
      </c>
    </row>
    <row r="691" spans="1:2">
      <c r="A691" t="str">
        <f>IF(livegame!$V$21,"",IF(A691&lt;&gt;"",A691,IF(AND(livegame!$T$20,livegame!$U$20&lt;&gt;"",B691="",B690&lt;&gt;""),livegame!$U$20,"")))</f>
        <v/>
      </c>
      <c r="B691" t="str">
        <f>IF(livegame!$V$21,"",IF(livegame!$T$20,B691,A691))</f>
        <v/>
      </c>
    </row>
    <row r="692" spans="1:2">
      <c r="A692" t="str">
        <f>IF(livegame!$V$21,"",IF(A692&lt;&gt;"",A692,IF(AND(livegame!$T$20,livegame!$U$20&lt;&gt;"",B692="",B691&lt;&gt;""),livegame!$U$20,"")))</f>
        <v/>
      </c>
      <c r="B692" t="str">
        <f>IF(livegame!$V$21,"",IF(livegame!$T$20,B692,A692))</f>
        <v/>
      </c>
    </row>
    <row r="693" spans="1:2">
      <c r="A693" t="str">
        <f>IF(livegame!$V$21,"",IF(A693&lt;&gt;"",A693,IF(AND(livegame!$T$20,livegame!$U$20&lt;&gt;"",B693="",B692&lt;&gt;""),livegame!$U$20,"")))</f>
        <v/>
      </c>
      <c r="B693" t="str">
        <f>IF(livegame!$V$21,"",IF(livegame!$T$20,B693,A693))</f>
        <v/>
      </c>
    </row>
    <row r="694" spans="1:2">
      <c r="A694" t="str">
        <f>IF(livegame!$V$21,"",IF(A694&lt;&gt;"",A694,IF(AND(livegame!$T$20,livegame!$U$20&lt;&gt;"",B694="",B693&lt;&gt;""),livegame!$U$20,"")))</f>
        <v/>
      </c>
      <c r="B694" t="str">
        <f>IF(livegame!$V$21,"",IF(livegame!$T$20,B694,A694))</f>
        <v/>
      </c>
    </row>
    <row r="695" spans="1:2">
      <c r="A695" t="str">
        <f>IF(livegame!$V$21,"",IF(A695&lt;&gt;"",A695,IF(AND(livegame!$T$20,livegame!$U$20&lt;&gt;"",B695="",B694&lt;&gt;""),livegame!$U$20,"")))</f>
        <v/>
      </c>
      <c r="B695" t="str">
        <f>IF(livegame!$V$21,"",IF(livegame!$T$20,B695,A695))</f>
        <v/>
      </c>
    </row>
    <row r="696" spans="1:2">
      <c r="A696" t="str">
        <f>IF(livegame!$V$21,"",IF(A696&lt;&gt;"",A696,IF(AND(livegame!$T$20,livegame!$U$20&lt;&gt;"",B696="",B695&lt;&gt;""),livegame!$U$20,"")))</f>
        <v/>
      </c>
      <c r="B696" t="str">
        <f>IF(livegame!$V$21,"",IF(livegame!$T$20,B696,A696))</f>
        <v/>
      </c>
    </row>
    <row r="697" spans="1:2">
      <c r="A697" t="str">
        <f>IF(livegame!$V$21,"",IF(A697&lt;&gt;"",A697,IF(AND(livegame!$T$20,livegame!$U$20&lt;&gt;"",B697="",B696&lt;&gt;""),livegame!$U$20,"")))</f>
        <v/>
      </c>
      <c r="B697" t="str">
        <f>IF(livegame!$V$21,"",IF(livegame!$T$20,B697,A697))</f>
        <v/>
      </c>
    </row>
    <row r="698" spans="1:2">
      <c r="A698" t="str">
        <f>IF(livegame!$V$21,"",IF(A698&lt;&gt;"",A698,IF(AND(livegame!$T$20,livegame!$U$20&lt;&gt;"",B698="",B697&lt;&gt;""),livegame!$U$20,"")))</f>
        <v/>
      </c>
      <c r="B698" t="str">
        <f>IF(livegame!$V$21,"",IF(livegame!$T$20,B698,A698))</f>
        <v/>
      </c>
    </row>
    <row r="699" spans="1:2">
      <c r="A699" t="str">
        <f>IF(livegame!$V$21,"",IF(A699&lt;&gt;"",A699,IF(AND(livegame!$T$20,livegame!$U$20&lt;&gt;"",B699="",B698&lt;&gt;""),livegame!$U$20,"")))</f>
        <v/>
      </c>
      <c r="B699" t="str">
        <f>IF(livegame!$V$21,"",IF(livegame!$T$20,B699,A699))</f>
        <v/>
      </c>
    </row>
    <row r="700" spans="1:2">
      <c r="A700" t="str">
        <f>IF(livegame!$V$21,"",IF(A700&lt;&gt;"",A700,IF(AND(livegame!$T$20,livegame!$U$20&lt;&gt;"",B700="",B699&lt;&gt;""),livegame!$U$20,"")))</f>
        <v/>
      </c>
      <c r="B700" t="str">
        <f>IF(livegame!$V$21,"",IF(livegame!$T$20,B700,A700))</f>
        <v/>
      </c>
    </row>
    <row r="701" spans="1:2">
      <c r="A701" t="str">
        <f>IF(livegame!$V$21,"",IF(A701&lt;&gt;"",A701,IF(AND(livegame!$T$20,livegame!$U$20&lt;&gt;"",B701="",B700&lt;&gt;""),livegame!$U$20,"")))</f>
        <v/>
      </c>
      <c r="B701" t="str">
        <f>IF(livegame!$V$21,"",IF(livegame!$T$20,B701,A701))</f>
        <v/>
      </c>
    </row>
    <row r="702" spans="1:2">
      <c r="A702" t="str">
        <f>IF(livegame!$V$21,"",IF(A702&lt;&gt;"",A702,IF(AND(livegame!$T$20,livegame!$U$20&lt;&gt;"",B702="",B701&lt;&gt;""),livegame!$U$20,"")))</f>
        <v/>
      </c>
      <c r="B702" t="str">
        <f>IF(livegame!$V$21,"",IF(livegame!$T$20,B702,A702))</f>
        <v/>
      </c>
    </row>
    <row r="703" spans="1:2">
      <c r="A703" t="str">
        <f>IF(livegame!$V$21,"",IF(A703&lt;&gt;"",A703,IF(AND(livegame!$T$20,livegame!$U$20&lt;&gt;"",B703="",B702&lt;&gt;""),livegame!$U$20,"")))</f>
        <v/>
      </c>
      <c r="B703" t="str">
        <f>IF(livegame!$V$21,"",IF(livegame!$T$20,B703,A703))</f>
        <v/>
      </c>
    </row>
    <row r="704" spans="1:2">
      <c r="A704" t="str">
        <f>IF(livegame!$V$21,"",IF(A704&lt;&gt;"",A704,IF(AND(livegame!$T$20,livegame!$U$20&lt;&gt;"",B704="",B703&lt;&gt;""),livegame!$U$20,"")))</f>
        <v/>
      </c>
      <c r="B704" t="str">
        <f>IF(livegame!$V$21,"",IF(livegame!$T$20,B704,A704))</f>
        <v/>
      </c>
    </row>
    <row r="705" spans="1:2">
      <c r="A705" t="str">
        <f>IF(livegame!$V$21,"",IF(A705&lt;&gt;"",A705,IF(AND(livegame!$T$20,livegame!$U$20&lt;&gt;"",B705="",B704&lt;&gt;""),livegame!$U$20,"")))</f>
        <v/>
      </c>
      <c r="B705" t="str">
        <f>IF(livegame!$V$21,"",IF(livegame!$T$20,B705,A705))</f>
        <v/>
      </c>
    </row>
    <row r="706" spans="1:2">
      <c r="A706" t="str">
        <f>IF(livegame!$V$21,"",IF(A706&lt;&gt;"",A706,IF(AND(livegame!$T$20,livegame!$U$20&lt;&gt;"",B706="",B705&lt;&gt;""),livegame!$U$20,"")))</f>
        <v/>
      </c>
      <c r="B706" t="str">
        <f>IF(livegame!$V$21,"",IF(livegame!$T$20,B706,A706))</f>
        <v/>
      </c>
    </row>
    <row r="707" spans="1:2">
      <c r="A707" t="str">
        <f>IF(livegame!$V$21,"",IF(A707&lt;&gt;"",A707,IF(AND(livegame!$T$20,livegame!$U$20&lt;&gt;"",B707="",B706&lt;&gt;""),livegame!$U$20,"")))</f>
        <v/>
      </c>
      <c r="B707" t="str">
        <f>IF(livegame!$V$21,"",IF(livegame!$T$20,B707,A707))</f>
        <v/>
      </c>
    </row>
    <row r="708" spans="1:2">
      <c r="A708" t="str">
        <f>IF(livegame!$V$21,"",IF(A708&lt;&gt;"",A708,IF(AND(livegame!$T$20,livegame!$U$20&lt;&gt;"",B708="",B707&lt;&gt;""),livegame!$U$20,"")))</f>
        <v/>
      </c>
      <c r="B708" t="str">
        <f>IF(livegame!$V$21,"",IF(livegame!$T$20,B708,A708))</f>
        <v/>
      </c>
    </row>
    <row r="709" spans="1:2">
      <c r="A709" t="str">
        <f>IF(livegame!$V$21,"",IF(A709&lt;&gt;"",A709,IF(AND(livegame!$T$20,livegame!$U$20&lt;&gt;"",B709="",B708&lt;&gt;""),livegame!$U$20,"")))</f>
        <v/>
      </c>
      <c r="B709" t="str">
        <f>IF(livegame!$V$21,"",IF(livegame!$T$20,B709,A709))</f>
        <v/>
      </c>
    </row>
    <row r="710" spans="1:2">
      <c r="A710" t="str">
        <f>IF(livegame!$V$21,"",IF(A710&lt;&gt;"",A710,IF(AND(livegame!$T$20,livegame!$U$20&lt;&gt;"",B710="",B709&lt;&gt;""),livegame!$U$20,"")))</f>
        <v/>
      </c>
      <c r="B710" t="str">
        <f>IF(livegame!$V$21,"",IF(livegame!$T$20,B710,A710))</f>
        <v/>
      </c>
    </row>
    <row r="711" spans="1:2">
      <c r="A711" t="str">
        <f>IF(livegame!$V$21,"",IF(A711&lt;&gt;"",A711,IF(AND(livegame!$T$20,livegame!$U$20&lt;&gt;"",B711="",B710&lt;&gt;""),livegame!$U$20,"")))</f>
        <v/>
      </c>
      <c r="B711" t="str">
        <f>IF(livegame!$V$21,"",IF(livegame!$T$20,B711,A711))</f>
        <v/>
      </c>
    </row>
    <row r="712" spans="1:2">
      <c r="A712" t="str">
        <f>IF(livegame!$V$21,"",IF(A712&lt;&gt;"",A712,IF(AND(livegame!$T$20,livegame!$U$20&lt;&gt;"",B712="",B711&lt;&gt;""),livegame!$U$20,"")))</f>
        <v/>
      </c>
      <c r="B712" t="str">
        <f>IF(livegame!$V$21,"",IF(livegame!$T$20,B712,A712))</f>
        <v/>
      </c>
    </row>
    <row r="713" spans="1:2">
      <c r="A713" t="str">
        <f>IF(livegame!$V$21,"",IF(A713&lt;&gt;"",A713,IF(AND(livegame!$T$20,livegame!$U$20&lt;&gt;"",B713="",B712&lt;&gt;""),livegame!$U$20,"")))</f>
        <v/>
      </c>
      <c r="B713" t="str">
        <f>IF(livegame!$V$21,"",IF(livegame!$T$20,B713,A713))</f>
        <v/>
      </c>
    </row>
    <row r="714" spans="1:2">
      <c r="A714" t="str">
        <f>IF(livegame!$V$21,"",IF(A714&lt;&gt;"",A714,IF(AND(livegame!$T$20,livegame!$U$20&lt;&gt;"",B714="",B713&lt;&gt;""),livegame!$U$20,"")))</f>
        <v/>
      </c>
      <c r="B714" t="str">
        <f>IF(livegame!$V$21,"",IF(livegame!$T$20,B714,A714))</f>
        <v/>
      </c>
    </row>
    <row r="715" spans="1:2">
      <c r="A715" t="str">
        <f>IF(livegame!$V$21,"",IF(A715&lt;&gt;"",A715,IF(AND(livegame!$T$20,livegame!$U$20&lt;&gt;"",B715="",B714&lt;&gt;""),livegame!$U$20,"")))</f>
        <v/>
      </c>
      <c r="B715" t="str">
        <f>IF(livegame!$V$21,"",IF(livegame!$T$20,B715,A715))</f>
        <v/>
      </c>
    </row>
    <row r="716" spans="1:2">
      <c r="A716" t="str">
        <f>IF(livegame!$V$21,"",IF(A716&lt;&gt;"",A716,IF(AND(livegame!$T$20,livegame!$U$20&lt;&gt;"",B716="",B715&lt;&gt;""),livegame!$U$20,"")))</f>
        <v/>
      </c>
      <c r="B716" t="str">
        <f>IF(livegame!$V$21,"",IF(livegame!$T$20,B716,A716))</f>
        <v/>
      </c>
    </row>
    <row r="717" spans="1:2">
      <c r="A717" t="str">
        <f>IF(livegame!$V$21,"",IF(A717&lt;&gt;"",A717,IF(AND(livegame!$T$20,livegame!$U$20&lt;&gt;"",B717="",B716&lt;&gt;""),livegame!$U$20,"")))</f>
        <v/>
      </c>
      <c r="B717" t="str">
        <f>IF(livegame!$V$21,"",IF(livegame!$T$20,B717,A717))</f>
        <v/>
      </c>
    </row>
    <row r="718" spans="1:2">
      <c r="A718" t="str">
        <f>IF(livegame!$V$21,"",IF(A718&lt;&gt;"",A718,IF(AND(livegame!$T$20,livegame!$U$20&lt;&gt;"",B718="",B717&lt;&gt;""),livegame!$U$20,"")))</f>
        <v/>
      </c>
      <c r="B718" t="str">
        <f>IF(livegame!$V$21,"",IF(livegame!$T$20,B718,A718))</f>
        <v/>
      </c>
    </row>
    <row r="719" spans="1:2">
      <c r="A719" t="str">
        <f>IF(livegame!$V$21,"",IF(A719&lt;&gt;"",A719,IF(AND(livegame!$T$20,livegame!$U$20&lt;&gt;"",B719="",B718&lt;&gt;""),livegame!$U$20,"")))</f>
        <v/>
      </c>
      <c r="B719" t="str">
        <f>IF(livegame!$V$21,"",IF(livegame!$T$20,B719,A719))</f>
        <v/>
      </c>
    </row>
    <row r="720" spans="1:2">
      <c r="A720" t="str">
        <f>IF(livegame!$V$21,"",IF(A720&lt;&gt;"",A720,IF(AND(livegame!$T$20,livegame!$U$20&lt;&gt;"",B720="",B719&lt;&gt;""),livegame!$U$20,"")))</f>
        <v/>
      </c>
      <c r="B720" t="str">
        <f>IF(livegame!$V$21,"",IF(livegame!$T$20,B720,A720))</f>
        <v/>
      </c>
    </row>
    <row r="721" spans="1:2">
      <c r="A721" t="str">
        <f>IF(livegame!$V$21,"",IF(A721&lt;&gt;"",A721,IF(AND(livegame!$T$20,livegame!$U$20&lt;&gt;"",B721="",B720&lt;&gt;""),livegame!$U$20,"")))</f>
        <v/>
      </c>
      <c r="B721" t="str">
        <f>IF(livegame!$V$21,"",IF(livegame!$T$20,B721,A721))</f>
        <v/>
      </c>
    </row>
    <row r="722" spans="1:2">
      <c r="A722" t="str">
        <f>IF(livegame!$V$21,"",IF(A722&lt;&gt;"",A722,IF(AND(livegame!$T$20,livegame!$U$20&lt;&gt;"",B722="",B721&lt;&gt;""),livegame!$U$20,"")))</f>
        <v/>
      </c>
      <c r="B722" t="str">
        <f>IF(livegame!$V$21,"",IF(livegame!$T$20,B722,A722))</f>
        <v/>
      </c>
    </row>
    <row r="723" spans="1:2">
      <c r="A723" t="str">
        <f>IF(livegame!$V$21,"",IF(A723&lt;&gt;"",A723,IF(AND(livegame!$T$20,livegame!$U$20&lt;&gt;"",B723="",B722&lt;&gt;""),livegame!$U$20,"")))</f>
        <v/>
      </c>
      <c r="B723" t="str">
        <f>IF(livegame!$V$21,"",IF(livegame!$T$20,B723,A723))</f>
        <v/>
      </c>
    </row>
    <row r="724" spans="1:2">
      <c r="A724" t="str">
        <f>IF(livegame!$V$21,"",IF(A724&lt;&gt;"",A724,IF(AND(livegame!$T$20,livegame!$U$20&lt;&gt;"",B724="",B723&lt;&gt;""),livegame!$U$20,"")))</f>
        <v/>
      </c>
      <c r="B724" t="str">
        <f>IF(livegame!$V$21,"",IF(livegame!$T$20,B724,A724))</f>
        <v/>
      </c>
    </row>
    <row r="725" spans="1:2">
      <c r="A725" t="str">
        <f>IF(livegame!$V$21,"",IF(A725&lt;&gt;"",A725,IF(AND(livegame!$T$20,livegame!$U$20&lt;&gt;"",B725="",B724&lt;&gt;""),livegame!$U$20,"")))</f>
        <v/>
      </c>
      <c r="B725" t="str">
        <f>IF(livegame!$V$21,"",IF(livegame!$T$20,B725,A725))</f>
        <v/>
      </c>
    </row>
    <row r="726" spans="1:2">
      <c r="A726" t="str">
        <f>IF(livegame!$V$21,"",IF(A726&lt;&gt;"",A726,IF(AND(livegame!$T$20,livegame!$U$20&lt;&gt;"",B726="",B725&lt;&gt;""),livegame!$U$20,"")))</f>
        <v/>
      </c>
      <c r="B726" t="str">
        <f>IF(livegame!$V$21,"",IF(livegame!$T$20,B726,A726))</f>
        <v/>
      </c>
    </row>
    <row r="727" spans="1:2">
      <c r="A727" t="str">
        <f>IF(livegame!$V$21,"",IF(A727&lt;&gt;"",A727,IF(AND(livegame!$T$20,livegame!$U$20&lt;&gt;"",B727="",B726&lt;&gt;""),livegame!$U$20,"")))</f>
        <v/>
      </c>
      <c r="B727" t="str">
        <f>IF(livegame!$V$21,"",IF(livegame!$T$20,B727,A727))</f>
        <v/>
      </c>
    </row>
    <row r="728" spans="1:2">
      <c r="A728" t="str">
        <f>IF(livegame!$V$21,"",IF(A728&lt;&gt;"",A728,IF(AND(livegame!$T$20,livegame!$U$20&lt;&gt;"",B728="",B727&lt;&gt;""),livegame!$U$20,"")))</f>
        <v/>
      </c>
      <c r="B728" t="str">
        <f>IF(livegame!$V$21,"",IF(livegame!$T$20,B728,A728))</f>
        <v/>
      </c>
    </row>
    <row r="729" spans="1:2">
      <c r="A729" t="str">
        <f>IF(livegame!$V$21,"",IF(A729&lt;&gt;"",A729,IF(AND(livegame!$T$20,livegame!$U$20&lt;&gt;"",B729="",B728&lt;&gt;""),livegame!$U$20,"")))</f>
        <v/>
      </c>
      <c r="B729" t="str">
        <f>IF(livegame!$V$21,"",IF(livegame!$T$20,B729,A729))</f>
        <v/>
      </c>
    </row>
    <row r="730" spans="1:2">
      <c r="A730" t="str">
        <f>IF(livegame!$V$21,"",IF(A730&lt;&gt;"",A730,IF(AND(livegame!$T$20,livegame!$U$20&lt;&gt;"",B730="",B729&lt;&gt;""),livegame!$U$20,"")))</f>
        <v/>
      </c>
      <c r="B730" t="str">
        <f>IF(livegame!$V$21,"",IF(livegame!$T$20,B730,A730))</f>
        <v/>
      </c>
    </row>
    <row r="731" spans="1:2">
      <c r="A731" t="str">
        <f>IF(livegame!$V$21,"",IF(A731&lt;&gt;"",A731,IF(AND(livegame!$T$20,livegame!$U$20&lt;&gt;"",B731="",B730&lt;&gt;""),livegame!$U$20,"")))</f>
        <v/>
      </c>
      <c r="B731" t="str">
        <f>IF(livegame!$V$21,"",IF(livegame!$T$20,B731,A731))</f>
        <v/>
      </c>
    </row>
    <row r="732" spans="1:2">
      <c r="A732" t="str">
        <f>IF(livegame!$V$21,"",IF(A732&lt;&gt;"",A732,IF(AND(livegame!$T$20,livegame!$U$20&lt;&gt;"",B732="",B731&lt;&gt;""),livegame!$U$20,"")))</f>
        <v/>
      </c>
      <c r="B732" t="str">
        <f>IF(livegame!$V$21,"",IF(livegame!$T$20,B732,A732))</f>
        <v/>
      </c>
    </row>
    <row r="733" spans="1:2">
      <c r="A733" t="str">
        <f>IF(livegame!$V$21,"",IF(A733&lt;&gt;"",A733,IF(AND(livegame!$T$20,livegame!$U$20&lt;&gt;"",B733="",B732&lt;&gt;""),livegame!$U$20,"")))</f>
        <v/>
      </c>
      <c r="B733" t="str">
        <f>IF(livegame!$V$21,"",IF(livegame!$T$20,B733,A733))</f>
        <v/>
      </c>
    </row>
    <row r="734" spans="1:2">
      <c r="A734" t="str">
        <f>IF(livegame!$V$21,"",IF(A734&lt;&gt;"",A734,IF(AND(livegame!$T$20,livegame!$U$20&lt;&gt;"",B734="",B733&lt;&gt;""),livegame!$U$20,"")))</f>
        <v/>
      </c>
      <c r="B734" t="str">
        <f>IF(livegame!$V$21,"",IF(livegame!$T$20,B734,A734))</f>
        <v/>
      </c>
    </row>
    <row r="735" spans="1:2">
      <c r="A735" t="str">
        <f>IF(livegame!$V$21,"",IF(A735&lt;&gt;"",A735,IF(AND(livegame!$T$20,livegame!$U$20&lt;&gt;"",B735="",B734&lt;&gt;""),livegame!$U$20,"")))</f>
        <v/>
      </c>
      <c r="B735" t="str">
        <f>IF(livegame!$V$21,"",IF(livegame!$T$20,B735,A735))</f>
        <v/>
      </c>
    </row>
    <row r="736" spans="1:2">
      <c r="A736" t="str">
        <f>IF(livegame!$V$21,"",IF(A736&lt;&gt;"",A736,IF(AND(livegame!$T$20,livegame!$U$20&lt;&gt;"",B736="",B735&lt;&gt;""),livegame!$U$20,"")))</f>
        <v/>
      </c>
      <c r="B736" t="str">
        <f>IF(livegame!$V$21,"",IF(livegame!$T$20,B736,A736))</f>
        <v/>
      </c>
    </row>
    <row r="737" spans="1:2">
      <c r="A737" t="str">
        <f>IF(livegame!$V$21,"",IF(A737&lt;&gt;"",A737,IF(AND(livegame!$T$20,livegame!$U$20&lt;&gt;"",B737="",B736&lt;&gt;""),livegame!$U$20,"")))</f>
        <v/>
      </c>
      <c r="B737" t="str">
        <f>IF(livegame!$V$21,"",IF(livegame!$T$20,B737,A737))</f>
        <v/>
      </c>
    </row>
    <row r="738" spans="1:2">
      <c r="A738" t="str">
        <f>IF(livegame!$V$21,"",IF(A738&lt;&gt;"",A738,IF(AND(livegame!$T$20,livegame!$U$20&lt;&gt;"",B738="",B737&lt;&gt;""),livegame!$U$20,"")))</f>
        <v/>
      </c>
      <c r="B738" t="str">
        <f>IF(livegame!$V$21,"",IF(livegame!$T$20,B738,A738))</f>
        <v/>
      </c>
    </row>
    <row r="739" spans="1:2">
      <c r="A739" t="str">
        <f>IF(livegame!$V$21,"",IF(A739&lt;&gt;"",A739,IF(AND(livegame!$T$20,livegame!$U$20&lt;&gt;"",B739="",B738&lt;&gt;""),livegame!$U$20,"")))</f>
        <v/>
      </c>
      <c r="B739" t="str">
        <f>IF(livegame!$V$21,"",IF(livegame!$T$20,B739,A739))</f>
        <v/>
      </c>
    </row>
    <row r="740" spans="1:2">
      <c r="A740" t="str">
        <f>IF(livegame!$V$21,"",IF(A740&lt;&gt;"",A740,IF(AND(livegame!$T$20,livegame!$U$20&lt;&gt;"",B740="",B739&lt;&gt;""),livegame!$U$20,"")))</f>
        <v/>
      </c>
      <c r="B740" t="str">
        <f>IF(livegame!$V$21,"",IF(livegame!$T$20,B740,A740))</f>
        <v/>
      </c>
    </row>
    <row r="741" spans="1:2">
      <c r="A741" t="str">
        <f>IF(livegame!$V$21,"",IF(A741&lt;&gt;"",A741,IF(AND(livegame!$T$20,livegame!$U$20&lt;&gt;"",B741="",B740&lt;&gt;""),livegame!$U$20,"")))</f>
        <v/>
      </c>
      <c r="B741" t="str">
        <f>IF(livegame!$V$21,"",IF(livegame!$T$20,B741,A741))</f>
        <v/>
      </c>
    </row>
    <row r="742" spans="1:2">
      <c r="A742" t="str">
        <f>IF(livegame!$V$21,"",IF(A742&lt;&gt;"",A742,IF(AND(livegame!$T$20,livegame!$U$20&lt;&gt;"",B742="",B741&lt;&gt;""),livegame!$U$20,"")))</f>
        <v/>
      </c>
      <c r="B742" t="str">
        <f>IF(livegame!$V$21,"",IF(livegame!$T$20,B742,A742))</f>
        <v/>
      </c>
    </row>
    <row r="743" spans="1:2">
      <c r="A743" t="str">
        <f>IF(livegame!$V$21,"",IF(A743&lt;&gt;"",A743,IF(AND(livegame!$T$20,livegame!$U$20&lt;&gt;"",B743="",B742&lt;&gt;""),livegame!$U$20,"")))</f>
        <v/>
      </c>
      <c r="B743" t="str">
        <f>IF(livegame!$V$21,"",IF(livegame!$T$20,B743,A743))</f>
        <v/>
      </c>
    </row>
    <row r="744" spans="1:2">
      <c r="A744" t="str">
        <f>IF(livegame!$V$21,"",IF(A744&lt;&gt;"",A744,IF(AND(livegame!$T$20,livegame!$U$20&lt;&gt;"",B744="",B743&lt;&gt;""),livegame!$U$20,"")))</f>
        <v/>
      </c>
      <c r="B744" t="str">
        <f>IF(livegame!$V$21,"",IF(livegame!$T$20,B744,A744))</f>
        <v/>
      </c>
    </row>
    <row r="745" spans="1:2">
      <c r="A745" t="str">
        <f>IF(livegame!$V$21,"",IF(A745&lt;&gt;"",A745,IF(AND(livegame!$T$20,livegame!$U$20&lt;&gt;"",B745="",B744&lt;&gt;""),livegame!$U$20,"")))</f>
        <v/>
      </c>
      <c r="B745" t="str">
        <f>IF(livegame!$V$21,"",IF(livegame!$T$20,B745,A745))</f>
        <v/>
      </c>
    </row>
    <row r="746" spans="1:2">
      <c r="A746" t="str">
        <f>IF(livegame!$V$21,"",IF(A746&lt;&gt;"",A746,IF(AND(livegame!$T$20,livegame!$U$20&lt;&gt;"",B746="",B745&lt;&gt;""),livegame!$U$20,"")))</f>
        <v/>
      </c>
      <c r="B746" t="str">
        <f>IF(livegame!$V$21,"",IF(livegame!$T$20,B746,A746))</f>
        <v/>
      </c>
    </row>
    <row r="747" spans="1:2">
      <c r="A747" t="str">
        <f>IF(livegame!$V$21,"",IF(A747&lt;&gt;"",A747,IF(AND(livegame!$T$20,livegame!$U$20&lt;&gt;"",B747="",B746&lt;&gt;""),livegame!$U$20,"")))</f>
        <v/>
      </c>
      <c r="B747" t="str">
        <f>IF(livegame!$V$21,"",IF(livegame!$T$20,B747,A747))</f>
        <v/>
      </c>
    </row>
    <row r="748" spans="1:2">
      <c r="A748" t="str">
        <f>IF(livegame!$V$21,"",IF(A748&lt;&gt;"",A748,IF(AND(livegame!$T$20,livegame!$U$20&lt;&gt;"",B748="",B747&lt;&gt;""),livegame!$U$20,"")))</f>
        <v/>
      </c>
      <c r="B748" t="str">
        <f>IF(livegame!$V$21,"",IF(livegame!$T$20,B748,A748))</f>
        <v/>
      </c>
    </row>
    <row r="749" spans="1:2">
      <c r="A749" t="str">
        <f>IF(livegame!$V$21,"",IF(A749&lt;&gt;"",A749,IF(AND(livegame!$T$20,livegame!$U$20&lt;&gt;"",B749="",B748&lt;&gt;""),livegame!$U$20,"")))</f>
        <v/>
      </c>
      <c r="B749" t="str">
        <f>IF(livegame!$V$21,"",IF(livegame!$T$20,B749,A749))</f>
        <v/>
      </c>
    </row>
    <row r="750" spans="1:2">
      <c r="A750" t="str">
        <f>IF(livegame!$V$21,"",IF(A750&lt;&gt;"",A750,IF(AND(livegame!$T$20,livegame!$U$20&lt;&gt;"",B750="",B749&lt;&gt;""),livegame!$U$20,"")))</f>
        <v/>
      </c>
      <c r="B750" t="str">
        <f>IF(livegame!$V$21,"",IF(livegame!$T$20,B750,A750))</f>
        <v/>
      </c>
    </row>
    <row r="751" spans="1:2">
      <c r="A751" t="str">
        <f>IF(livegame!$V$21,"",IF(A751&lt;&gt;"",A751,IF(AND(livegame!$T$20,livegame!$U$20&lt;&gt;"",B751="",B750&lt;&gt;""),livegame!$U$20,"")))</f>
        <v/>
      </c>
      <c r="B751" t="str">
        <f>IF(livegame!$V$21,"",IF(livegame!$T$20,B751,A751))</f>
        <v/>
      </c>
    </row>
    <row r="752" spans="1:2">
      <c r="A752" t="str">
        <f>IF(livegame!$V$21,"",IF(A752&lt;&gt;"",A752,IF(AND(livegame!$T$20,livegame!$U$20&lt;&gt;"",B752="",B751&lt;&gt;""),livegame!$U$20,"")))</f>
        <v/>
      </c>
      <c r="B752" t="str">
        <f>IF(livegame!$V$21,"",IF(livegame!$T$20,B752,A752))</f>
        <v/>
      </c>
    </row>
    <row r="753" spans="1:2">
      <c r="A753" t="str">
        <f>IF(livegame!$V$21,"",IF(A753&lt;&gt;"",A753,IF(AND(livegame!$T$20,livegame!$U$20&lt;&gt;"",B753="",B752&lt;&gt;""),livegame!$U$20,"")))</f>
        <v/>
      </c>
      <c r="B753" t="str">
        <f>IF(livegame!$V$21,"",IF(livegame!$T$20,B753,A753))</f>
        <v/>
      </c>
    </row>
    <row r="754" spans="1:2">
      <c r="A754" t="str">
        <f>IF(livegame!$V$21,"",IF(A754&lt;&gt;"",A754,IF(AND(livegame!$T$20,livegame!$U$20&lt;&gt;"",B754="",B753&lt;&gt;""),livegame!$U$20,"")))</f>
        <v/>
      </c>
      <c r="B754" t="str">
        <f>IF(livegame!$V$21,"",IF(livegame!$T$20,B754,A754))</f>
        <v/>
      </c>
    </row>
    <row r="755" spans="1:2">
      <c r="A755" t="str">
        <f>IF(livegame!$V$21,"",IF(A755&lt;&gt;"",A755,IF(AND(livegame!$T$20,livegame!$U$20&lt;&gt;"",B755="",B754&lt;&gt;""),livegame!$U$20,"")))</f>
        <v/>
      </c>
      <c r="B755" t="str">
        <f>IF(livegame!$V$21,"",IF(livegame!$T$20,B755,A755))</f>
        <v/>
      </c>
    </row>
    <row r="756" spans="1:2">
      <c r="A756" t="str">
        <f>IF(livegame!$V$21,"",IF(A756&lt;&gt;"",A756,IF(AND(livegame!$T$20,livegame!$U$20&lt;&gt;"",B756="",B755&lt;&gt;""),livegame!$U$20,"")))</f>
        <v/>
      </c>
      <c r="B756" t="str">
        <f>IF(livegame!$V$21,"",IF(livegame!$T$20,B756,A756))</f>
        <v/>
      </c>
    </row>
    <row r="757" spans="1:2">
      <c r="A757" t="str">
        <f>IF(livegame!$V$21,"",IF(A757&lt;&gt;"",A757,IF(AND(livegame!$T$20,livegame!$U$20&lt;&gt;"",B757="",B756&lt;&gt;""),livegame!$U$20,"")))</f>
        <v/>
      </c>
      <c r="B757" t="str">
        <f>IF(livegame!$V$21,"",IF(livegame!$T$20,B757,A757))</f>
        <v/>
      </c>
    </row>
    <row r="758" spans="1:2">
      <c r="A758" t="str">
        <f>IF(livegame!$V$21,"",IF(A758&lt;&gt;"",A758,IF(AND(livegame!$T$20,livegame!$U$20&lt;&gt;"",B758="",B757&lt;&gt;""),livegame!$U$20,"")))</f>
        <v/>
      </c>
      <c r="B758" t="str">
        <f>IF(livegame!$V$21,"",IF(livegame!$T$20,B758,A758))</f>
        <v/>
      </c>
    </row>
    <row r="759" spans="1:2">
      <c r="A759" t="str">
        <f>IF(livegame!$V$21,"",IF(A759&lt;&gt;"",A759,IF(AND(livegame!$T$20,livegame!$U$20&lt;&gt;"",B759="",B758&lt;&gt;""),livegame!$U$20,"")))</f>
        <v/>
      </c>
      <c r="B759" t="str">
        <f>IF(livegame!$V$21,"",IF(livegame!$T$20,B759,A759))</f>
        <v/>
      </c>
    </row>
    <row r="760" spans="1:2">
      <c r="A760" t="str">
        <f>IF(livegame!$V$21,"",IF(A760&lt;&gt;"",A760,IF(AND(livegame!$T$20,livegame!$U$20&lt;&gt;"",B760="",B759&lt;&gt;""),livegame!$U$20,"")))</f>
        <v/>
      </c>
      <c r="B760" t="str">
        <f>IF(livegame!$V$21,"",IF(livegame!$T$20,B760,A760))</f>
        <v/>
      </c>
    </row>
    <row r="761" spans="1:2">
      <c r="A761" t="str">
        <f>IF(livegame!$V$21,"",IF(A761&lt;&gt;"",A761,IF(AND(livegame!$T$20,livegame!$U$20&lt;&gt;"",B761="",B760&lt;&gt;""),livegame!$U$20,"")))</f>
        <v/>
      </c>
      <c r="B761" t="str">
        <f>IF(livegame!$V$21,"",IF(livegame!$T$20,B761,A761))</f>
        <v/>
      </c>
    </row>
    <row r="762" spans="1:2">
      <c r="A762" t="str">
        <f>IF(livegame!$V$21,"",IF(A762&lt;&gt;"",A762,IF(AND(livegame!$T$20,livegame!$U$20&lt;&gt;"",B762="",B761&lt;&gt;""),livegame!$U$20,"")))</f>
        <v/>
      </c>
      <c r="B762" t="str">
        <f>IF(livegame!$V$21,"",IF(livegame!$T$20,B762,A762))</f>
        <v/>
      </c>
    </row>
    <row r="763" spans="1:2">
      <c r="A763" t="str">
        <f>IF(livegame!$V$21,"",IF(A763&lt;&gt;"",A763,IF(AND(livegame!$T$20,livegame!$U$20&lt;&gt;"",B763="",B762&lt;&gt;""),livegame!$U$20,"")))</f>
        <v/>
      </c>
      <c r="B763" t="str">
        <f>IF(livegame!$V$21,"",IF(livegame!$T$20,B763,A763))</f>
        <v/>
      </c>
    </row>
    <row r="764" spans="1:2">
      <c r="A764" t="str">
        <f>IF(livegame!$V$21,"",IF(A764&lt;&gt;"",A764,IF(AND(livegame!$T$20,livegame!$U$20&lt;&gt;"",B764="",B763&lt;&gt;""),livegame!$U$20,"")))</f>
        <v/>
      </c>
      <c r="B764" t="str">
        <f>IF(livegame!$V$21,"",IF(livegame!$T$20,B764,A764))</f>
        <v/>
      </c>
    </row>
    <row r="765" spans="1:2">
      <c r="A765" t="str">
        <f>IF(livegame!$V$21,"",IF(A765&lt;&gt;"",A765,IF(AND(livegame!$T$20,livegame!$U$20&lt;&gt;"",B765="",B764&lt;&gt;""),livegame!$U$20,"")))</f>
        <v/>
      </c>
      <c r="B765" t="str">
        <f>IF(livegame!$V$21,"",IF(livegame!$T$20,B765,A765))</f>
        <v/>
      </c>
    </row>
    <row r="766" spans="1:2">
      <c r="A766" t="str">
        <f>IF(livegame!$V$21,"",IF(A766&lt;&gt;"",A766,IF(AND(livegame!$T$20,livegame!$U$20&lt;&gt;"",B766="",B765&lt;&gt;""),livegame!$U$20,"")))</f>
        <v/>
      </c>
      <c r="B766" t="str">
        <f>IF(livegame!$V$21,"",IF(livegame!$T$20,B766,A766))</f>
        <v/>
      </c>
    </row>
    <row r="767" spans="1:2">
      <c r="A767" t="str">
        <f>IF(livegame!$V$21,"",IF(A767&lt;&gt;"",A767,IF(AND(livegame!$T$20,livegame!$U$20&lt;&gt;"",B767="",B766&lt;&gt;""),livegame!$U$20,"")))</f>
        <v/>
      </c>
      <c r="B767" t="str">
        <f>IF(livegame!$V$21,"",IF(livegame!$T$20,B767,A767))</f>
        <v/>
      </c>
    </row>
    <row r="768" spans="1:2">
      <c r="A768" t="str">
        <f>IF(livegame!$V$21,"",IF(A768&lt;&gt;"",A768,IF(AND(livegame!$T$20,livegame!$U$20&lt;&gt;"",B768="",B767&lt;&gt;""),livegame!$U$20,"")))</f>
        <v/>
      </c>
      <c r="B768" t="str">
        <f>IF(livegame!$V$21,"",IF(livegame!$T$20,B768,A768))</f>
        <v/>
      </c>
    </row>
    <row r="769" spans="1:2">
      <c r="A769" t="str">
        <f>IF(livegame!$V$21,"",IF(A769&lt;&gt;"",A769,IF(AND(livegame!$T$20,livegame!$U$20&lt;&gt;"",B769="",B768&lt;&gt;""),livegame!$U$20,"")))</f>
        <v/>
      </c>
      <c r="B769" t="str">
        <f>IF(livegame!$V$21,"",IF(livegame!$T$20,B769,A769))</f>
        <v/>
      </c>
    </row>
    <row r="770" spans="1:2">
      <c r="A770" t="str">
        <f>IF(livegame!$V$21,"",IF(A770&lt;&gt;"",A770,IF(AND(livegame!$T$20,livegame!$U$20&lt;&gt;"",B770="",B769&lt;&gt;""),livegame!$U$20,"")))</f>
        <v/>
      </c>
      <c r="B770" t="str">
        <f>IF(livegame!$V$21,"",IF(livegame!$T$20,B770,A770))</f>
        <v/>
      </c>
    </row>
    <row r="771" spans="1:2">
      <c r="A771" t="str">
        <f>IF(livegame!$V$21,"",IF(A771&lt;&gt;"",A771,IF(AND(livegame!$T$20,livegame!$U$20&lt;&gt;"",B771="",B770&lt;&gt;""),livegame!$U$20,"")))</f>
        <v/>
      </c>
      <c r="B771" t="str">
        <f>IF(livegame!$V$21,"",IF(livegame!$T$20,B771,A771))</f>
        <v/>
      </c>
    </row>
    <row r="772" spans="1:2">
      <c r="A772" t="str">
        <f>IF(livegame!$V$21,"",IF(A772&lt;&gt;"",A772,IF(AND(livegame!$T$20,livegame!$U$20&lt;&gt;"",B772="",B771&lt;&gt;""),livegame!$U$20,"")))</f>
        <v/>
      </c>
      <c r="B772" t="str">
        <f>IF(livegame!$V$21,"",IF(livegame!$T$20,B772,A772))</f>
        <v/>
      </c>
    </row>
    <row r="773" spans="1:2">
      <c r="A773" t="str">
        <f>IF(livegame!$V$21,"",IF(A773&lt;&gt;"",A773,IF(AND(livegame!$T$20,livegame!$U$20&lt;&gt;"",B773="",B772&lt;&gt;""),livegame!$U$20,"")))</f>
        <v/>
      </c>
      <c r="B773" t="str">
        <f>IF(livegame!$V$21,"",IF(livegame!$T$20,B773,A773))</f>
        <v/>
      </c>
    </row>
    <row r="774" spans="1:2">
      <c r="A774" t="str">
        <f>IF(livegame!$V$21,"",IF(A774&lt;&gt;"",A774,IF(AND(livegame!$T$20,livegame!$U$20&lt;&gt;"",B774="",B773&lt;&gt;""),livegame!$U$20,"")))</f>
        <v/>
      </c>
      <c r="B774" t="str">
        <f>IF(livegame!$V$21,"",IF(livegame!$T$20,B774,A774))</f>
        <v/>
      </c>
    </row>
    <row r="775" spans="1:2">
      <c r="A775" t="str">
        <f>IF(livegame!$V$21,"",IF(A775&lt;&gt;"",A775,IF(AND(livegame!$T$20,livegame!$U$20&lt;&gt;"",B775="",B774&lt;&gt;""),livegame!$U$20,"")))</f>
        <v/>
      </c>
      <c r="B775" t="str">
        <f>IF(livegame!$V$21,"",IF(livegame!$T$20,B775,A775))</f>
        <v/>
      </c>
    </row>
    <row r="776" spans="1:2">
      <c r="A776" t="str">
        <f>IF(livegame!$V$21,"",IF(A776&lt;&gt;"",A776,IF(AND(livegame!$T$20,livegame!$U$20&lt;&gt;"",B776="",B775&lt;&gt;""),livegame!$U$20,"")))</f>
        <v/>
      </c>
      <c r="B776" t="str">
        <f>IF(livegame!$V$21,"",IF(livegame!$T$20,B776,A776))</f>
        <v/>
      </c>
    </row>
    <row r="777" spans="1:2">
      <c r="A777" t="str">
        <f>IF(livegame!$V$21,"",IF(A777&lt;&gt;"",A777,IF(AND(livegame!$T$20,livegame!$U$20&lt;&gt;"",B777="",B776&lt;&gt;""),livegame!$U$20,"")))</f>
        <v/>
      </c>
      <c r="B777" t="str">
        <f>IF(livegame!$V$21,"",IF(livegame!$T$20,B777,A777))</f>
        <v/>
      </c>
    </row>
    <row r="778" spans="1:2">
      <c r="A778" t="str">
        <f>IF(livegame!$V$21,"",IF(A778&lt;&gt;"",A778,IF(AND(livegame!$T$20,livegame!$U$20&lt;&gt;"",B778="",B777&lt;&gt;""),livegame!$U$20,"")))</f>
        <v/>
      </c>
      <c r="B778" t="str">
        <f>IF(livegame!$V$21,"",IF(livegame!$T$20,B778,A778))</f>
        <v/>
      </c>
    </row>
    <row r="779" spans="1:2">
      <c r="A779" t="str">
        <f>IF(livegame!$V$21,"",IF(A779&lt;&gt;"",A779,IF(AND(livegame!$T$20,livegame!$U$20&lt;&gt;"",B779="",B778&lt;&gt;""),livegame!$U$20,"")))</f>
        <v/>
      </c>
      <c r="B779" t="str">
        <f>IF(livegame!$V$21,"",IF(livegame!$T$20,B779,A779))</f>
        <v/>
      </c>
    </row>
    <row r="780" spans="1:2">
      <c r="A780" t="str">
        <f>IF(livegame!$V$21,"",IF(A780&lt;&gt;"",A780,IF(AND(livegame!$T$20,livegame!$U$20&lt;&gt;"",B780="",B779&lt;&gt;""),livegame!$U$20,"")))</f>
        <v/>
      </c>
      <c r="B780" t="str">
        <f>IF(livegame!$V$21,"",IF(livegame!$T$20,B780,A780))</f>
        <v/>
      </c>
    </row>
    <row r="781" spans="1:2">
      <c r="A781" t="str">
        <f>IF(livegame!$V$21,"",IF(A781&lt;&gt;"",A781,IF(AND(livegame!$T$20,livegame!$U$20&lt;&gt;"",B781="",B780&lt;&gt;""),livegame!$U$20,"")))</f>
        <v/>
      </c>
      <c r="B781" t="str">
        <f>IF(livegame!$V$21,"",IF(livegame!$T$20,B781,A781))</f>
        <v/>
      </c>
    </row>
    <row r="782" spans="1:2">
      <c r="A782" t="str">
        <f>IF(livegame!$V$21,"",IF(A782&lt;&gt;"",A782,IF(AND(livegame!$T$20,livegame!$U$20&lt;&gt;"",B782="",B781&lt;&gt;""),livegame!$U$20,"")))</f>
        <v/>
      </c>
      <c r="B782" t="str">
        <f>IF(livegame!$V$21,"",IF(livegame!$T$20,B782,A782))</f>
        <v/>
      </c>
    </row>
    <row r="783" spans="1:2">
      <c r="A783" t="str">
        <f>IF(livegame!$V$21,"",IF(A783&lt;&gt;"",A783,IF(AND(livegame!$T$20,livegame!$U$20&lt;&gt;"",B783="",B782&lt;&gt;""),livegame!$U$20,"")))</f>
        <v/>
      </c>
      <c r="B783" t="str">
        <f>IF(livegame!$V$21,"",IF(livegame!$T$20,B783,A783))</f>
        <v/>
      </c>
    </row>
    <row r="784" spans="1:2">
      <c r="A784" t="str">
        <f>IF(livegame!$V$21,"",IF(A784&lt;&gt;"",A784,IF(AND(livegame!$T$20,livegame!$U$20&lt;&gt;"",B784="",B783&lt;&gt;""),livegame!$U$20,"")))</f>
        <v/>
      </c>
      <c r="B784" t="str">
        <f>IF(livegame!$V$21,"",IF(livegame!$T$20,B784,A784))</f>
        <v/>
      </c>
    </row>
    <row r="785" spans="1:2">
      <c r="A785" t="str">
        <f>IF(livegame!$V$21,"",IF(A785&lt;&gt;"",A785,IF(AND(livegame!$T$20,livegame!$U$20&lt;&gt;"",B785="",B784&lt;&gt;""),livegame!$U$20,"")))</f>
        <v/>
      </c>
      <c r="B785" t="str">
        <f>IF(livegame!$V$21,"",IF(livegame!$T$20,B785,A785))</f>
        <v/>
      </c>
    </row>
    <row r="786" spans="1:2">
      <c r="A786" t="str">
        <f>IF(livegame!$V$21,"",IF(A786&lt;&gt;"",A786,IF(AND(livegame!$T$20,livegame!$U$20&lt;&gt;"",B786="",B785&lt;&gt;""),livegame!$U$20,"")))</f>
        <v/>
      </c>
      <c r="B786" t="str">
        <f>IF(livegame!$V$21,"",IF(livegame!$T$20,B786,A786))</f>
        <v/>
      </c>
    </row>
    <row r="787" spans="1:2">
      <c r="A787" t="str">
        <f>IF(livegame!$V$21,"",IF(A787&lt;&gt;"",A787,IF(AND(livegame!$T$20,livegame!$U$20&lt;&gt;"",B787="",B786&lt;&gt;""),livegame!$U$20,"")))</f>
        <v/>
      </c>
      <c r="B787" t="str">
        <f>IF(livegame!$V$21,"",IF(livegame!$T$20,B787,A787))</f>
        <v/>
      </c>
    </row>
    <row r="788" spans="1:2">
      <c r="A788" t="str">
        <f>IF(livegame!$V$21,"",IF(A788&lt;&gt;"",A788,IF(AND(livegame!$T$20,livegame!$U$20&lt;&gt;"",B788="",B787&lt;&gt;""),livegame!$U$20,"")))</f>
        <v/>
      </c>
      <c r="B788" t="str">
        <f>IF(livegame!$V$21,"",IF(livegame!$T$20,B788,A788))</f>
        <v/>
      </c>
    </row>
    <row r="789" spans="1:2">
      <c r="A789" t="str">
        <f>IF(livegame!$V$21,"",IF(A789&lt;&gt;"",A789,IF(AND(livegame!$T$20,livegame!$U$20&lt;&gt;"",B789="",B788&lt;&gt;""),livegame!$U$20,"")))</f>
        <v/>
      </c>
      <c r="B789" t="str">
        <f>IF(livegame!$V$21,"",IF(livegame!$T$20,B789,A789))</f>
        <v/>
      </c>
    </row>
    <row r="790" spans="1:2">
      <c r="A790" t="str">
        <f>IF(livegame!$V$21,"",IF(A790&lt;&gt;"",A790,IF(AND(livegame!$T$20,livegame!$U$20&lt;&gt;"",B790="",B789&lt;&gt;""),livegame!$U$20,"")))</f>
        <v/>
      </c>
      <c r="B790" t="str">
        <f>IF(livegame!$V$21,"",IF(livegame!$T$20,B790,A790))</f>
        <v/>
      </c>
    </row>
    <row r="791" spans="1:2">
      <c r="A791" t="str">
        <f>IF(livegame!$V$21,"",IF(A791&lt;&gt;"",A791,IF(AND(livegame!$T$20,livegame!$U$20&lt;&gt;"",B791="",B790&lt;&gt;""),livegame!$U$20,"")))</f>
        <v/>
      </c>
      <c r="B791" t="str">
        <f>IF(livegame!$V$21,"",IF(livegame!$T$20,B791,A791))</f>
        <v/>
      </c>
    </row>
    <row r="792" spans="1:2">
      <c r="A792" t="str">
        <f>IF(livegame!$V$21,"",IF(A792&lt;&gt;"",A792,IF(AND(livegame!$T$20,livegame!$U$20&lt;&gt;"",B792="",B791&lt;&gt;""),livegame!$U$20,"")))</f>
        <v/>
      </c>
      <c r="B792" t="str">
        <f>IF(livegame!$V$21,"",IF(livegame!$T$20,B792,A792))</f>
        <v/>
      </c>
    </row>
    <row r="793" spans="1:2">
      <c r="A793" t="str">
        <f>IF(livegame!$V$21,"",IF(A793&lt;&gt;"",A793,IF(AND(livegame!$T$20,livegame!$U$20&lt;&gt;"",B793="",B792&lt;&gt;""),livegame!$U$20,"")))</f>
        <v/>
      </c>
      <c r="B793" t="str">
        <f>IF(livegame!$V$21,"",IF(livegame!$T$20,B793,A793))</f>
        <v/>
      </c>
    </row>
    <row r="794" spans="1:2">
      <c r="A794" t="str">
        <f>IF(livegame!$V$21,"",IF(A794&lt;&gt;"",A794,IF(AND(livegame!$T$20,livegame!$U$20&lt;&gt;"",B794="",B793&lt;&gt;""),livegame!$U$20,"")))</f>
        <v/>
      </c>
      <c r="B794" t="str">
        <f>IF(livegame!$V$21,"",IF(livegame!$T$20,B794,A794))</f>
        <v/>
      </c>
    </row>
    <row r="795" spans="1:2">
      <c r="A795" t="str">
        <f>IF(livegame!$V$21,"",IF(A795&lt;&gt;"",A795,IF(AND(livegame!$T$20,livegame!$U$20&lt;&gt;"",B795="",B794&lt;&gt;""),livegame!$U$20,"")))</f>
        <v/>
      </c>
      <c r="B795" t="str">
        <f>IF(livegame!$V$21,"",IF(livegame!$T$20,B795,A795))</f>
        <v/>
      </c>
    </row>
    <row r="796" spans="1:2">
      <c r="A796" t="str">
        <f>IF(livegame!$V$21,"",IF(A796&lt;&gt;"",A796,IF(AND(livegame!$T$20,livegame!$U$20&lt;&gt;"",B796="",B795&lt;&gt;""),livegame!$U$20,"")))</f>
        <v/>
      </c>
      <c r="B796" t="str">
        <f>IF(livegame!$V$21,"",IF(livegame!$T$20,B796,A796))</f>
        <v/>
      </c>
    </row>
    <row r="797" spans="1:2">
      <c r="A797" t="str">
        <f>IF(livegame!$V$21,"",IF(A797&lt;&gt;"",A797,IF(AND(livegame!$T$20,livegame!$U$20&lt;&gt;"",B797="",B796&lt;&gt;""),livegame!$U$20,"")))</f>
        <v/>
      </c>
      <c r="B797" t="str">
        <f>IF(livegame!$V$21,"",IF(livegame!$T$20,B797,A797))</f>
        <v/>
      </c>
    </row>
    <row r="798" spans="1:2">
      <c r="A798" t="str">
        <f>IF(livegame!$V$21,"",IF(A798&lt;&gt;"",A798,IF(AND(livegame!$T$20,livegame!$U$20&lt;&gt;"",B798="",B797&lt;&gt;""),livegame!$U$20,"")))</f>
        <v/>
      </c>
      <c r="B798" t="str">
        <f>IF(livegame!$V$21,"",IF(livegame!$T$20,B798,A798))</f>
        <v/>
      </c>
    </row>
    <row r="799" spans="1:2">
      <c r="A799" t="str">
        <f>IF(livegame!$V$21,"",IF(A799&lt;&gt;"",A799,IF(AND(livegame!$T$20,livegame!$U$20&lt;&gt;"",B799="",B798&lt;&gt;""),livegame!$U$20,"")))</f>
        <v/>
      </c>
      <c r="B799" t="str">
        <f>IF(livegame!$V$21,"",IF(livegame!$T$20,B799,A799))</f>
        <v/>
      </c>
    </row>
    <row r="800" spans="1:2">
      <c r="A800" t="str">
        <f>IF(livegame!$V$21,"",IF(A800&lt;&gt;"",A800,IF(AND(livegame!$T$20,livegame!$U$20&lt;&gt;"",B800="",B799&lt;&gt;""),livegame!$U$20,"")))</f>
        <v/>
      </c>
      <c r="B800" t="str">
        <f>IF(livegame!$V$21,"",IF(livegame!$T$20,B800,A800))</f>
        <v/>
      </c>
    </row>
    <row r="801" spans="1:2">
      <c r="A801" t="str">
        <f>IF(livegame!$V$21,"",IF(A801&lt;&gt;"",A801,IF(AND(livegame!$T$20,livegame!$U$20&lt;&gt;"",B801="",B800&lt;&gt;""),livegame!$U$20,"")))</f>
        <v/>
      </c>
      <c r="B801" t="str">
        <f>IF(livegame!$V$21,"",IF(livegame!$T$20,B801,A801))</f>
        <v/>
      </c>
    </row>
    <row r="802" spans="1:2">
      <c r="A802" t="str">
        <f>IF(livegame!$V$21,"",IF(A802&lt;&gt;"",A802,IF(AND(livegame!$T$20,livegame!$U$20&lt;&gt;"",B802="",B801&lt;&gt;""),livegame!$U$20,"")))</f>
        <v/>
      </c>
      <c r="B802" t="str">
        <f>IF(livegame!$V$21,"",IF(livegame!$T$20,B802,A802))</f>
        <v/>
      </c>
    </row>
    <row r="803" spans="1:2">
      <c r="A803" t="str">
        <f>IF(livegame!$V$21,"",IF(A803&lt;&gt;"",A803,IF(AND(livegame!$T$20,livegame!$U$20&lt;&gt;"",B803="",B802&lt;&gt;""),livegame!$U$20,"")))</f>
        <v/>
      </c>
      <c r="B803" t="str">
        <f>IF(livegame!$V$21,"",IF(livegame!$T$20,B803,A803))</f>
        <v/>
      </c>
    </row>
    <row r="804" spans="1:2">
      <c r="A804" t="str">
        <f>IF(livegame!$V$21,"",IF(A804&lt;&gt;"",A804,IF(AND(livegame!$T$20,livegame!$U$20&lt;&gt;"",B804="",B803&lt;&gt;""),livegame!$U$20,"")))</f>
        <v/>
      </c>
      <c r="B804" t="str">
        <f>IF(livegame!$V$21,"",IF(livegame!$T$20,B804,A804))</f>
        <v/>
      </c>
    </row>
    <row r="805" spans="1:2">
      <c r="A805" t="str">
        <f>IF(livegame!$V$21,"",IF(A805&lt;&gt;"",A805,IF(AND(livegame!$T$20,livegame!$U$20&lt;&gt;"",B805="",B804&lt;&gt;""),livegame!$U$20,"")))</f>
        <v/>
      </c>
      <c r="B805" t="str">
        <f>IF(livegame!$V$21,"",IF(livegame!$T$20,B805,A805))</f>
        <v/>
      </c>
    </row>
    <row r="806" spans="1:2">
      <c r="A806" t="str">
        <f>IF(livegame!$V$21,"",IF(A806&lt;&gt;"",A806,IF(AND(livegame!$T$20,livegame!$U$20&lt;&gt;"",B806="",B805&lt;&gt;""),livegame!$U$20,"")))</f>
        <v/>
      </c>
      <c r="B806" t="str">
        <f>IF(livegame!$V$21,"",IF(livegame!$T$20,B806,A806))</f>
        <v/>
      </c>
    </row>
    <row r="807" spans="1:2">
      <c r="A807" t="str">
        <f>IF(livegame!$V$21,"",IF(A807&lt;&gt;"",A807,IF(AND(livegame!$T$20,livegame!$U$20&lt;&gt;"",B807="",B806&lt;&gt;""),livegame!$U$20,"")))</f>
        <v/>
      </c>
      <c r="B807" t="str">
        <f>IF(livegame!$V$21,"",IF(livegame!$T$20,B807,A807))</f>
        <v/>
      </c>
    </row>
    <row r="808" spans="1:2">
      <c r="A808" t="str">
        <f>IF(livegame!$V$21,"",IF(A808&lt;&gt;"",A808,IF(AND(livegame!$T$20,livegame!$U$20&lt;&gt;"",B808="",B807&lt;&gt;""),livegame!$U$20,"")))</f>
        <v/>
      </c>
      <c r="B808" t="str">
        <f>IF(livegame!$V$21,"",IF(livegame!$T$20,B808,A808))</f>
        <v/>
      </c>
    </row>
    <row r="809" spans="1:2">
      <c r="A809" t="str">
        <f>IF(livegame!$V$21,"",IF(A809&lt;&gt;"",A809,IF(AND(livegame!$T$20,livegame!$U$20&lt;&gt;"",B809="",B808&lt;&gt;""),livegame!$U$20,"")))</f>
        <v/>
      </c>
      <c r="B809" t="str">
        <f>IF(livegame!$V$21,"",IF(livegame!$T$20,B809,A809))</f>
        <v/>
      </c>
    </row>
    <row r="810" spans="1:2">
      <c r="A810" t="str">
        <f>IF(livegame!$V$21,"",IF(A810&lt;&gt;"",A810,IF(AND(livegame!$T$20,livegame!$U$20&lt;&gt;"",B810="",B809&lt;&gt;""),livegame!$U$20,"")))</f>
        <v/>
      </c>
      <c r="B810" t="str">
        <f>IF(livegame!$V$21,"",IF(livegame!$T$20,B810,A810))</f>
        <v/>
      </c>
    </row>
    <row r="811" spans="1:2">
      <c r="A811" t="str">
        <f>IF(livegame!$V$21,"",IF(A811&lt;&gt;"",A811,IF(AND(livegame!$T$20,livegame!$U$20&lt;&gt;"",B811="",B810&lt;&gt;""),livegame!$U$20,"")))</f>
        <v/>
      </c>
      <c r="B811" t="str">
        <f>IF(livegame!$V$21,"",IF(livegame!$T$20,B811,A811))</f>
        <v/>
      </c>
    </row>
    <row r="812" spans="1:2">
      <c r="A812" t="str">
        <f>IF(livegame!$V$21,"",IF(A812&lt;&gt;"",A812,IF(AND(livegame!$T$20,livegame!$U$20&lt;&gt;"",B812="",B811&lt;&gt;""),livegame!$U$20,"")))</f>
        <v/>
      </c>
      <c r="B812" t="str">
        <f>IF(livegame!$V$21,"",IF(livegame!$T$20,B812,A812))</f>
        <v/>
      </c>
    </row>
    <row r="813" spans="1:2">
      <c r="A813" t="str">
        <f>IF(livegame!$V$21,"",IF(A813&lt;&gt;"",A813,IF(AND(livegame!$T$20,livegame!$U$20&lt;&gt;"",B813="",B812&lt;&gt;""),livegame!$U$20,"")))</f>
        <v/>
      </c>
      <c r="B813" t="str">
        <f>IF(livegame!$V$21,"",IF(livegame!$T$20,B813,A813))</f>
        <v/>
      </c>
    </row>
    <row r="814" spans="1:2">
      <c r="A814" t="str">
        <f>IF(livegame!$V$21,"",IF(A814&lt;&gt;"",A814,IF(AND(livegame!$T$20,livegame!$U$20&lt;&gt;"",B814="",B813&lt;&gt;""),livegame!$U$20,"")))</f>
        <v/>
      </c>
      <c r="B814" t="str">
        <f>IF(livegame!$V$21,"",IF(livegame!$T$20,B814,A814))</f>
        <v/>
      </c>
    </row>
    <row r="815" spans="1:2">
      <c r="A815" t="str">
        <f>IF(livegame!$V$21,"",IF(A815&lt;&gt;"",A815,IF(AND(livegame!$T$20,livegame!$U$20&lt;&gt;"",B815="",B814&lt;&gt;""),livegame!$U$20,"")))</f>
        <v/>
      </c>
      <c r="B815" t="str">
        <f>IF(livegame!$V$21,"",IF(livegame!$T$20,B815,A815))</f>
        <v/>
      </c>
    </row>
    <row r="816" spans="1:2">
      <c r="A816" t="str">
        <f>IF(livegame!$V$21,"",IF(A816&lt;&gt;"",A816,IF(AND(livegame!$T$20,livegame!$U$20&lt;&gt;"",B816="",B815&lt;&gt;""),livegame!$U$20,"")))</f>
        <v/>
      </c>
      <c r="B816" t="str">
        <f>IF(livegame!$V$21,"",IF(livegame!$T$20,B816,A816))</f>
        <v/>
      </c>
    </row>
    <row r="817" spans="1:2">
      <c r="A817" t="str">
        <f>IF(livegame!$V$21,"",IF(A817&lt;&gt;"",A817,IF(AND(livegame!$T$20,livegame!$U$20&lt;&gt;"",B817="",B816&lt;&gt;""),livegame!$U$20,"")))</f>
        <v/>
      </c>
      <c r="B817" t="str">
        <f>IF(livegame!$V$21,"",IF(livegame!$T$20,B817,A817))</f>
        <v/>
      </c>
    </row>
    <row r="818" spans="1:2">
      <c r="A818" t="str">
        <f>IF(livegame!$V$21,"",IF(A818&lt;&gt;"",A818,IF(AND(livegame!$T$20,livegame!$U$20&lt;&gt;"",B818="",B817&lt;&gt;""),livegame!$U$20,"")))</f>
        <v/>
      </c>
      <c r="B818" t="str">
        <f>IF(livegame!$V$21,"",IF(livegame!$T$20,B818,A818))</f>
        <v/>
      </c>
    </row>
    <row r="819" spans="1:2">
      <c r="A819" t="str">
        <f>IF(livegame!$V$21,"",IF(A819&lt;&gt;"",A819,IF(AND(livegame!$T$20,livegame!$U$20&lt;&gt;"",B819="",B818&lt;&gt;""),livegame!$U$20,"")))</f>
        <v/>
      </c>
      <c r="B819" t="str">
        <f>IF(livegame!$V$21,"",IF(livegame!$T$20,B819,A819))</f>
        <v/>
      </c>
    </row>
    <row r="820" spans="1:2">
      <c r="A820" t="str">
        <f>IF(livegame!$V$21,"",IF(A820&lt;&gt;"",A820,IF(AND(livegame!$T$20,livegame!$U$20&lt;&gt;"",B820="",B819&lt;&gt;""),livegame!$U$20,"")))</f>
        <v/>
      </c>
      <c r="B820" t="str">
        <f>IF(livegame!$V$21,"",IF(livegame!$T$20,B820,A820))</f>
        <v/>
      </c>
    </row>
    <row r="821" spans="1:2">
      <c r="A821" t="str">
        <f>IF(livegame!$V$21,"",IF(A821&lt;&gt;"",A821,IF(AND(livegame!$T$20,livegame!$U$20&lt;&gt;"",B821="",B820&lt;&gt;""),livegame!$U$20,"")))</f>
        <v/>
      </c>
      <c r="B821" t="str">
        <f>IF(livegame!$V$21,"",IF(livegame!$T$20,B821,A821))</f>
        <v/>
      </c>
    </row>
    <row r="822" spans="1:2">
      <c r="A822" t="str">
        <f>IF(livegame!$V$21,"",IF(A822&lt;&gt;"",A822,IF(AND(livegame!$T$20,livegame!$U$20&lt;&gt;"",B822="",B821&lt;&gt;""),livegame!$U$20,"")))</f>
        <v/>
      </c>
      <c r="B822" t="str">
        <f>IF(livegame!$V$21,"",IF(livegame!$T$20,B822,A822))</f>
        <v/>
      </c>
    </row>
    <row r="823" spans="1:2">
      <c r="A823" t="str">
        <f>IF(livegame!$V$21,"",IF(A823&lt;&gt;"",A823,IF(AND(livegame!$T$20,livegame!$U$20&lt;&gt;"",B823="",B822&lt;&gt;""),livegame!$U$20,"")))</f>
        <v/>
      </c>
      <c r="B823" t="str">
        <f>IF(livegame!$V$21,"",IF(livegame!$T$20,B823,A823))</f>
        <v/>
      </c>
    </row>
    <row r="824" spans="1:2">
      <c r="A824" t="str">
        <f>IF(livegame!$V$21,"",IF(A824&lt;&gt;"",A824,IF(AND(livegame!$T$20,livegame!$U$20&lt;&gt;"",B824="",B823&lt;&gt;""),livegame!$U$20,"")))</f>
        <v/>
      </c>
      <c r="B824" t="str">
        <f>IF(livegame!$V$21,"",IF(livegame!$T$20,B824,A824))</f>
        <v/>
      </c>
    </row>
    <row r="825" spans="1:2">
      <c r="A825" t="str">
        <f>IF(livegame!$V$21,"",IF(A825&lt;&gt;"",A825,IF(AND(livegame!$T$20,livegame!$U$20&lt;&gt;"",B825="",B824&lt;&gt;""),livegame!$U$20,"")))</f>
        <v/>
      </c>
      <c r="B825" t="str">
        <f>IF(livegame!$V$21,"",IF(livegame!$T$20,B825,A825))</f>
        <v/>
      </c>
    </row>
    <row r="826" spans="1:2">
      <c r="A826" t="str">
        <f>IF(livegame!$V$21,"",IF(A826&lt;&gt;"",A826,IF(AND(livegame!$T$20,livegame!$U$20&lt;&gt;"",B826="",B825&lt;&gt;""),livegame!$U$20,"")))</f>
        <v/>
      </c>
      <c r="B826" t="str">
        <f>IF(livegame!$V$21,"",IF(livegame!$T$20,B826,A826))</f>
        <v/>
      </c>
    </row>
    <row r="827" spans="1:2">
      <c r="A827" t="str">
        <f>IF(livegame!$V$21,"",IF(A827&lt;&gt;"",A827,IF(AND(livegame!$T$20,livegame!$U$20&lt;&gt;"",B827="",B826&lt;&gt;""),livegame!$U$20,"")))</f>
        <v/>
      </c>
      <c r="B827" t="str">
        <f>IF(livegame!$V$21,"",IF(livegame!$T$20,B827,A827))</f>
        <v/>
      </c>
    </row>
    <row r="828" spans="1:2">
      <c r="A828" t="str">
        <f>IF(livegame!$V$21,"",IF(A828&lt;&gt;"",A828,IF(AND(livegame!$T$20,livegame!$U$20&lt;&gt;"",B828="",B827&lt;&gt;""),livegame!$U$20,"")))</f>
        <v/>
      </c>
      <c r="B828" t="str">
        <f>IF(livegame!$V$21,"",IF(livegame!$T$20,B828,A828))</f>
        <v/>
      </c>
    </row>
    <row r="829" spans="1:2">
      <c r="A829" t="str">
        <f>IF(livegame!$V$21,"",IF(A829&lt;&gt;"",A829,IF(AND(livegame!$T$20,livegame!$U$20&lt;&gt;"",B829="",B828&lt;&gt;""),livegame!$U$20,"")))</f>
        <v/>
      </c>
      <c r="B829" t="str">
        <f>IF(livegame!$V$21,"",IF(livegame!$T$20,B829,A829))</f>
        <v/>
      </c>
    </row>
    <row r="830" spans="1:2">
      <c r="A830" t="str">
        <f>IF(livegame!$V$21,"",IF(A830&lt;&gt;"",A830,IF(AND(livegame!$T$20,livegame!$U$20&lt;&gt;"",B830="",B829&lt;&gt;""),livegame!$U$20,"")))</f>
        <v/>
      </c>
      <c r="B830" t="str">
        <f>IF(livegame!$V$21,"",IF(livegame!$T$20,B830,A830))</f>
        <v/>
      </c>
    </row>
    <row r="831" spans="1:2">
      <c r="A831" t="str">
        <f>IF(livegame!$V$21,"",IF(A831&lt;&gt;"",A831,IF(AND(livegame!$T$20,livegame!$U$20&lt;&gt;"",B831="",B830&lt;&gt;""),livegame!$U$20,"")))</f>
        <v/>
      </c>
      <c r="B831" t="str">
        <f>IF(livegame!$V$21,"",IF(livegame!$T$20,B831,A831))</f>
        <v/>
      </c>
    </row>
    <row r="832" spans="1:2">
      <c r="A832" t="str">
        <f>IF(livegame!$V$21,"",IF(A832&lt;&gt;"",A832,IF(AND(livegame!$T$20,livegame!$U$20&lt;&gt;"",B832="",B831&lt;&gt;""),livegame!$U$20,"")))</f>
        <v/>
      </c>
      <c r="B832" t="str">
        <f>IF(livegame!$V$21,"",IF(livegame!$T$20,B832,A832))</f>
        <v/>
      </c>
    </row>
    <row r="833" spans="1:2">
      <c r="A833" t="str">
        <f>IF(livegame!$V$21,"",IF(A833&lt;&gt;"",A833,IF(AND(livegame!$T$20,livegame!$U$20&lt;&gt;"",B833="",B832&lt;&gt;""),livegame!$U$20,"")))</f>
        <v/>
      </c>
      <c r="B833" t="str">
        <f>IF(livegame!$V$21,"",IF(livegame!$T$20,B833,A833))</f>
        <v/>
      </c>
    </row>
    <row r="834" spans="1:2">
      <c r="A834" t="str">
        <f>IF(livegame!$V$21,"",IF(A834&lt;&gt;"",A834,IF(AND(livegame!$T$20,livegame!$U$20&lt;&gt;"",B834="",B833&lt;&gt;""),livegame!$U$20,"")))</f>
        <v/>
      </c>
      <c r="B834" t="str">
        <f>IF(livegame!$V$21,"",IF(livegame!$T$20,B834,A834))</f>
        <v/>
      </c>
    </row>
    <row r="835" spans="1:2">
      <c r="A835" t="str">
        <f>IF(livegame!$V$21,"",IF(A835&lt;&gt;"",A835,IF(AND(livegame!$T$20,livegame!$U$20&lt;&gt;"",B835="",B834&lt;&gt;""),livegame!$U$20,"")))</f>
        <v/>
      </c>
      <c r="B835" t="str">
        <f>IF(livegame!$V$21,"",IF(livegame!$T$20,B835,A835))</f>
        <v/>
      </c>
    </row>
    <row r="836" spans="1:2">
      <c r="A836" t="str">
        <f>IF(livegame!$V$21,"",IF(A836&lt;&gt;"",A836,IF(AND(livegame!$T$20,livegame!$U$20&lt;&gt;"",B836="",B835&lt;&gt;""),livegame!$U$20,"")))</f>
        <v/>
      </c>
      <c r="B836" t="str">
        <f>IF(livegame!$V$21,"",IF(livegame!$T$20,B836,A836))</f>
        <v/>
      </c>
    </row>
    <row r="837" spans="1:2">
      <c r="A837" t="str">
        <f>IF(livegame!$V$21,"",IF(A837&lt;&gt;"",A837,IF(AND(livegame!$T$20,livegame!$U$20&lt;&gt;"",B837="",B836&lt;&gt;""),livegame!$U$20,"")))</f>
        <v/>
      </c>
      <c r="B837" t="str">
        <f>IF(livegame!$V$21,"",IF(livegame!$T$20,B837,A837))</f>
        <v/>
      </c>
    </row>
    <row r="838" spans="1:2">
      <c r="A838" t="str">
        <f>IF(livegame!$V$21,"",IF(A838&lt;&gt;"",A838,IF(AND(livegame!$T$20,livegame!$U$20&lt;&gt;"",B838="",B837&lt;&gt;""),livegame!$U$20,"")))</f>
        <v/>
      </c>
      <c r="B838" t="str">
        <f>IF(livegame!$V$21,"",IF(livegame!$T$20,B838,A838))</f>
        <v/>
      </c>
    </row>
    <row r="839" spans="1:2">
      <c r="A839" t="str">
        <f>IF(livegame!$V$21,"",IF(A839&lt;&gt;"",A839,IF(AND(livegame!$T$20,livegame!$U$20&lt;&gt;"",B839="",B838&lt;&gt;""),livegame!$U$20,"")))</f>
        <v/>
      </c>
      <c r="B839" t="str">
        <f>IF(livegame!$V$21,"",IF(livegame!$T$20,B839,A839))</f>
        <v/>
      </c>
    </row>
    <row r="840" spans="1:2">
      <c r="A840" t="str">
        <f>IF(livegame!$V$21,"",IF(A840&lt;&gt;"",A840,IF(AND(livegame!$T$20,livegame!$U$20&lt;&gt;"",B840="",B839&lt;&gt;""),livegame!$U$20,"")))</f>
        <v/>
      </c>
      <c r="B840" t="str">
        <f>IF(livegame!$V$21,"",IF(livegame!$T$20,B840,A840))</f>
        <v/>
      </c>
    </row>
    <row r="841" spans="1:2">
      <c r="A841" t="str">
        <f>IF(livegame!$V$21,"",IF(A841&lt;&gt;"",A841,IF(AND(livegame!$T$20,livegame!$U$20&lt;&gt;"",B841="",B840&lt;&gt;""),livegame!$U$20,"")))</f>
        <v/>
      </c>
      <c r="B841" t="str">
        <f>IF(livegame!$V$21,"",IF(livegame!$T$20,B841,A841))</f>
        <v/>
      </c>
    </row>
    <row r="842" spans="1:2">
      <c r="A842" t="str">
        <f>IF(livegame!$V$21,"",IF(A842&lt;&gt;"",A842,IF(AND(livegame!$T$20,livegame!$U$20&lt;&gt;"",B842="",B841&lt;&gt;""),livegame!$U$20,"")))</f>
        <v/>
      </c>
      <c r="B842" t="str">
        <f>IF(livegame!$V$21,"",IF(livegame!$T$20,B842,A842))</f>
        <v/>
      </c>
    </row>
    <row r="843" spans="1:2">
      <c r="A843" t="str">
        <f>IF(livegame!$V$21,"",IF(A843&lt;&gt;"",A843,IF(AND(livegame!$T$20,livegame!$U$20&lt;&gt;"",B843="",B842&lt;&gt;""),livegame!$U$20,"")))</f>
        <v/>
      </c>
      <c r="B843" t="str">
        <f>IF(livegame!$V$21,"",IF(livegame!$T$20,B843,A843))</f>
        <v/>
      </c>
    </row>
    <row r="844" spans="1:2">
      <c r="A844" t="str">
        <f>IF(livegame!$V$21,"",IF(A844&lt;&gt;"",A844,IF(AND(livegame!$T$20,livegame!$U$20&lt;&gt;"",B844="",B843&lt;&gt;""),livegame!$U$20,"")))</f>
        <v/>
      </c>
      <c r="B844" t="str">
        <f>IF(livegame!$V$21,"",IF(livegame!$T$20,B844,A844))</f>
        <v/>
      </c>
    </row>
    <row r="845" spans="1:2">
      <c r="A845" t="str">
        <f>IF(livegame!$V$21,"",IF(A845&lt;&gt;"",A845,IF(AND(livegame!$T$20,livegame!$U$20&lt;&gt;"",B845="",B844&lt;&gt;""),livegame!$U$20,"")))</f>
        <v/>
      </c>
      <c r="B845" t="str">
        <f>IF(livegame!$V$21,"",IF(livegame!$T$20,B845,A845))</f>
        <v/>
      </c>
    </row>
    <row r="846" spans="1:2">
      <c r="A846" t="str">
        <f>IF(livegame!$V$21,"",IF(A846&lt;&gt;"",A846,IF(AND(livegame!$T$20,livegame!$U$20&lt;&gt;"",B846="",B845&lt;&gt;""),livegame!$U$20,"")))</f>
        <v/>
      </c>
      <c r="B846" t="str">
        <f>IF(livegame!$V$21,"",IF(livegame!$T$20,B846,A846))</f>
        <v/>
      </c>
    </row>
    <row r="847" spans="1:2">
      <c r="A847" t="str">
        <f>IF(livegame!$V$21,"",IF(A847&lt;&gt;"",A847,IF(AND(livegame!$T$20,livegame!$U$20&lt;&gt;"",B847="",B846&lt;&gt;""),livegame!$U$20,"")))</f>
        <v/>
      </c>
      <c r="B847" t="str">
        <f>IF(livegame!$V$21,"",IF(livegame!$T$20,B847,A847))</f>
        <v/>
      </c>
    </row>
    <row r="848" spans="1:2">
      <c r="A848" t="str">
        <f>IF(livegame!$V$21,"",IF(A848&lt;&gt;"",A848,IF(AND(livegame!$T$20,livegame!$U$20&lt;&gt;"",B848="",B847&lt;&gt;""),livegame!$U$20,"")))</f>
        <v/>
      </c>
      <c r="B848" t="str">
        <f>IF(livegame!$V$21,"",IF(livegame!$T$20,B848,A848))</f>
        <v/>
      </c>
    </row>
    <row r="849" spans="1:2">
      <c r="A849" t="str">
        <f>IF(livegame!$V$21,"",IF(A849&lt;&gt;"",A849,IF(AND(livegame!$T$20,livegame!$U$20&lt;&gt;"",B849="",B848&lt;&gt;""),livegame!$U$20,"")))</f>
        <v/>
      </c>
      <c r="B849" t="str">
        <f>IF(livegame!$V$21,"",IF(livegame!$T$20,B849,A849))</f>
        <v/>
      </c>
    </row>
    <row r="850" spans="1:2">
      <c r="A850" t="str">
        <f>IF(livegame!$V$21,"",IF(A850&lt;&gt;"",A850,IF(AND(livegame!$T$20,livegame!$U$20&lt;&gt;"",B850="",B849&lt;&gt;""),livegame!$U$20,"")))</f>
        <v/>
      </c>
      <c r="B850" t="str">
        <f>IF(livegame!$V$21,"",IF(livegame!$T$20,B850,A850))</f>
        <v/>
      </c>
    </row>
    <row r="851" spans="1:2">
      <c r="A851" t="str">
        <f>IF(livegame!$V$21,"",IF(A851&lt;&gt;"",A851,IF(AND(livegame!$T$20,livegame!$U$20&lt;&gt;"",B851="",B850&lt;&gt;""),livegame!$U$20,"")))</f>
        <v/>
      </c>
      <c r="B851" t="str">
        <f>IF(livegame!$V$21,"",IF(livegame!$T$20,B851,A851))</f>
        <v/>
      </c>
    </row>
    <row r="852" spans="1:2">
      <c r="A852" t="str">
        <f>IF(livegame!$V$21,"",IF(A852&lt;&gt;"",A852,IF(AND(livegame!$T$20,livegame!$U$20&lt;&gt;"",B852="",B851&lt;&gt;""),livegame!$U$20,"")))</f>
        <v/>
      </c>
      <c r="B852" t="str">
        <f>IF(livegame!$V$21,"",IF(livegame!$T$20,B852,A852))</f>
        <v/>
      </c>
    </row>
    <row r="853" spans="1:2">
      <c r="A853" t="str">
        <f>IF(livegame!$V$21,"",IF(A853&lt;&gt;"",A853,IF(AND(livegame!$T$20,livegame!$U$20&lt;&gt;"",B853="",B852&lt;&gt;""),livegame!$U$20,"")))</f>
        <v/>
      </c>
      <c r="B853" t="str">
        <f>IF(livegame!$V$21,"",IF(livegame!$T$20,B853,A853))</f>
        <v/>
      </c>
    </row>
    <row r="854" spans="1:2">
      <c r="A854" t="str">
        <f>IF(livegame!$V$21,"",IF(A854&lt;&gt;"",A854,IF(AND(livegame!$T$20,livegame!$U$20&lt;&gt;"",B854="",B853&lt;&gt;""),livegame!$U$20,"")))</f>
        <v/>
      </c>
      <c r="B854" t="str">
        <f>IF(livegame!$V$21,"",IF(livegame!$T$20,B854,A854))</f>
        <v/>
      </c>
    </row>
    <row r="855" spans="1:2">
      <c r="A855" t="str">
        <f>IF(livegame!$V$21,"",IF(A855&lt;&gt;"",A855,IF(AND(livegame!$T$20,livegame!$U$20&lt;&gt;"",B855="",B854&lt;&gt;""),livegame!$U$20,"")))</f>
        <v/>
      </c>
      <c r="B855" t="str">
        <f>IF(livegame!$V$21,"",IF(livegame!$T$20,B855,A855))</f>
        <v/>
      </c>
    </row>
    <row r="856" spans="1:2">
      <c r="A856" t="str">
        <f>IF(livegame!$V$21,"",IF(A856&lt;&gt;"",A856,IF(AND(livegame!$T$20,livegame!$U$20&lt;&gt;"",B856="",B855&lt;&gt;""),livegame!$U$20,"")))</f>
        <v/>
      </c>
      <c r="B856" t="str">
        <f>IF(livegame!$V$21,"",IF(livegame!$T$20,B856,A856))</f>
        <v/>
      </c>
    </row>
    <row r="857" spans="1:2">
      <c r="A857" t="str">
        <f>IF(livegame!$V$21,"",IF(A857&lt;&gt;"",A857,IF(AND(livegame!$T$20,livegame!$U$20&lt;&gt;"",B857="",B856&lt;&gt;""),livegame!$U$20,"")))</f>
        <v/>
      </c>
      <c r="B857" t="str">
        <f>IF(livegame!$V$21,"",IF(livegame!$T$20,B857,A857))</f>
        <v/>
      </c>
    </row>
    <row r="858" spans="1:2">
      <c r="A858" t="str">
        <f>IF(livegame!$V$21,"",IF(A858&lt;&gt;"",A858,IF(AND(livegame!$T$20,livegame!$U$20&lt;&gt;"",B858="",B857&lt;&gt;""),livegame!$U$20,"")))</f>
        <v/>
      </c>
      <c r="B858" t="str">
        <f>IF(livegame!$V$21,"",IF(livegame!$T$20,B858,A858))</f>
        <v/>
      </c>
    </row>
    <row r="859" spans="1:2">
      <c r="A859" t="str">
        <f>IF(livegame!$V$21,"",IF(A859&lt;&gt;"",A859,IF(AND(livegame!$T$20,livegame!$U$20&lt;&gt;"",B859="",B858&lt;&gt;""),livegame!$U$20,"")))</f>
        <v/>
      </c>
      <c r="B859" t="str">
        <f>IF(livegame!$V$21,"",IF(livegame!$T$20,B859,A859))</f>
        <v/>
      </c>
    </row>
    <row r="860" spans="1:2">
      <c r="A860" t="str">
        <f>IF(livegame!$V$21,"",IF(A860&lt;&gt;"",A860,IF(AND(livegame!$T$20,livegame!$U$20&lt;&gt;"",B860="",B859&lt;&gt;""),livegame!$U$20,"")))</f>
        <v/>
      </c>
      <c r="B860" t="str">
        <f>IF(livegame!$V$21,"",IF(livegame!$T$20,B860,A860))</f>
        <v/>
      </c>
    </row>
    <row r="861" spans="1:2">
      <c r="A861" t="str">
        <f>IF(livegame!$V$21,"",IF(A861&lt;&gt;"",A861,IF(AND(livegame!$T$20,livegame!$U$20&lt;&gt;"",B861="",B860&lt;&gt;""),livegame!$U$20,"")))</f>
        <v/>
      </c>
      <c r="B861" t="str">
        <f>IF(livegame!$V$21,"",IF(livegame!$T$20,B861,A861))</f>
        <v/>
      </c>
    </row>
    <row r="862" spans="1:2">
      <c r="A862" t="str">
        <f>IF(livegame!$V$21,"",IF(A862&lt;&gt;"",A862,IF(AND(livegame!$T$20,livegame!$U$20&lt;&gt;"",B862="",B861&lt;&gt;""),livegame!$U$20,"")))</f>
        <v/>
      </c>
      <c r="B862" t="str">
        <f>IF(livegame!$V$21,"",IF(livegame!$T$20,B862,A862))</f>
        <v/>
      </c>
    </row>
    <row r="863" spans="1:2">
      <c r="A863" t="str">
        <f>IF(livegame!$V$21,"",IF(A863&lt;&gt;"",A863,IF(AND(livegame!$T$20,livegame!$U$20&lt;&gt;"",B863="",B862&lt;&gt;""),livegame!$U$20,"")))</f>
        <v/>
      </c>
      <c r="B863" t="str">
        <f>IF(livegame!$V$21,"",IF(livegame!$T$20,B863,A863))</f>
        <v/>
      </c>
    </row>
    <row r="864" spans="1:2">
      <c r="A864" t="str">
        <f>IF(livegame!$V$21,"",IF(A864&lt;&gt;"",A864,IF(AND(livegame!$T$20,livegame!$U$20&lt;&gt;"",B864="",B863&lt;&gt;""),livegame!$U$20,"")))</f>
        <v/>
      </c>
      <c r="B864" t="str">
        <f>IF(livegame!$V$21,"",IF(livegame!$T$20,B864,A864))</f>
        <v/>
      </c>
    </row>
    <row r="865" spans="1:2">
      <c r="A865" t="str">
        <f>IF(livegame!$V$21,"",IF(A865&lt;&gt;"",A865,IF(AND(livegame!$T$20,livegame!$U$20&lt;&gt;"",B865="",B864&lt;&gt;""),livegame!$U$20,"")))</f>
        <v/>
      </c>
      <c r="B865" t="str">
        <f>IF(livegame!$V$21,"",IF(livegame!$T$20,B865,A865))</f>
        <v/>
      </c>
    </row>
    <row r="866" spans="1:2">
      <c r="A866" t="str">
        <f>IF(livegame!$V$21,"",IF(A866&lt;&gt;"",A866,IF(AND(livegame!$T$20,livegame!$U$20&lt;&gt;"",B866="",B865&lt;&gt;""),livegame!$U$20,"")))</f>
        <v/>
      </c>
      <c r="B866" t="str">
        <f>IF(livegame!$V$21,"",IF(livegame!$T$20,B866,A866))</f>
        <v/>
      </c>
    </row>
    <row r="867" spans="1:2">
      <c r="A867" t="str">
        <f>IF(livegame!$V$21,"",IF(A867&lt;&gt;"",A867,IF(AND(livegame!$T$20,livegame!$U$20&lt;&gt;"",B867="",B866&lt;&gt;""),livegame!$U$20,"")))</f>
        <v/>
      </c>
      <c r="B867" t="str">
        <f>IF(livegame!$V$21,"",IF(livegame!$T$20,B867,A867))</f>
        <v/>
      </c>
    </row>
    <row r="868" spans="1:2">
      <c r="A868" t="str">
        <f>IF(livegame!$V$21,"",IF(A868&lt;&gt;"",A868,IF(AND(livegame!$T$20,livegame!$U$20&lt;&gt;"",B868="",B867&lt;&gt;""),livegame!$U$20,"")))</f>
        <v/>
      </c>
      <c r="B868" t="str">
        <f>IF(livegame!$V$21,"",IF(livegame!$T$20,B868,A868))</f>
        <v/>
      </c>
    </row>
    <row r="869" spans="1:2">
      <c r="A869" t="str">
        <f>IF(livegame!$V$21,"",IF(A869&lt;&gt;"",A869,IF(AND(livegame!$T$20,livegame!$U$20&lt;&gt;"",B869="",B868&lt;&gt;""),livegame!$U$20,"")))</f>
        <v/>
      </c>
      <c r="B869" t="str">
        <f>IF(livegame!$V$21,"",IF(livegame!$T$20,B869,A869))</f>
        <v/>
      </c>
    </row>
    <row r="870" spans="1:2">
      <c r="A870" t="str">
        <f>IF(livegame!$V$21,"",IF(A870&lt;&gt;"",A870,IF(AND(livegame!$T$20,livegame!$U$20&lt;&gt;"",B870="",B869&lt;&gt;""),livegame!$U$20,"")))</f>
        <v/>
      </c>
      <c r="B870" t="str">
        <f>IF(livegame!$V$21,"",IF(livegame!$T$20,B870,A870))</f>
        <v/>
      </c>
    </row>
    <row r="871" spans="1:2">
      <c r="A871" t="str">
        <f>IF(livegame!$V$21,"",IF(A871&lt;&gt;"",A871,IF(AND(livegame!$T$20,livegame!$U$20&lt;&gt;"",B871="",B870&lt;&gt;""),livegame!$U$20,"")))</f>
        <v/>
      </c>
      <c r="B871" t="str">
        <f>IF(livegame!$V$21,"",IF(livegame!$T$20,B871,A871))</f>
        <v/>
      </c>
    </row>
    <row r="872" spans="1:2">
      <c r="A872" t="str">
        <f>IF(livegame!$V$21,"",IF(A872&lt;&gt;"",A872,IF(AND(livegame!$T$20,livegame!$U$20&lt;&gt;"",B872="",B871&lt;&gt;""),livegame!$U$20,"")))</f>
        <v/>
      </c>
      <c r="B872" t="str">
        <f>IF(livegame!$V$21,"",IF(livegame!$T$20,B872,A872))</f>
        <v/>
      </c>
    </row>
    <row r="873" spans="1:2">
      <c r="A873" t="str">
        <f>IF(livegame!$V$21,"",IF(A873&lt;&gt;"",A873,IF(AND(livegame!$T$20,livegame!$U$20&lt;&gt;"",B873="",B872&lt;&gt;""),livegame!$U$20,"")))</f>
        <v/>
      </c>
      <c r="B873" t="str">
        <f>IF(livegame!$V$21,"",IF(livegame!$T$20,B873,A873))</f>
        <v/>
      </c>
    </row>
    <row r="874" spans="1:2">
      <c r="A874" t="str">
        <f>IF(livegame!$V$21,"",IF(A874&lt;&gt;"",A874,IF(AND(livegame!$T$20,livegame!$U$20&lt;&gt;"",B874="",B873&lt;&gt;""),livegame!$U$20,"")))</f>
        <v/>
      </c>
      <c r="B874" t="str">
        <f>IF(livegame!$V$21,"",IF(livegame!$T$20,B874,A874))</f>
        <v/>
      </c>
    </row>
    <row r="875" spans="1:2">
      <c r="A875" t="str">
        <f>IF(livegame!$V$21,"",IF(A875&lt;&gt;"",A875,IF(AND(livegame!$T$20,livegame!$U$20&lt;&gt;"",B875="",B874&lt;&gt;""),livegame!$U$20,"")))</f>
        <v/>
      </c>
      <c r="B875" t="str">
        <f>IF(livegame!$V$21,"",IF(livegame!$T$20,B875,A875))</f>
        <v/>
      </c>
    </row>
    <row r="876" spans="1:2">
      <c r="A876" t="str">
        <f>IF(livegame!$V$21,"",IF(A876&lt;&gt;"",A876,IF(AND(livegame!$T$20,livegame!$U$20&lt;&gt;"",B876="",B875&lt;&gt;""),livegame!$U$20,"")))</f>
        <v/>
      </c>
      <c r="B876" t="str">
        <f>IF(livegame!$V$21,"",IF(livegame!$T$20,B876,A876))</f>
        <v/>
      </c>
    </row>
    <row r="877" spans="1:2">
      <c r="A877" t="str">
        <f>IF(livegame!$V$21,"",IF(A877&lt;&gt;"",A877,IF(AND(livegame!$T$20,livegame!$U$20&lt;&gt;"",B877="",B876&lt;&gt;""),livegame!$U$20,"")))</f>
        <v/>
      </c>
      <c r="B877" t="str">
        <f>IF(livegame!$V$21,"",IF(livegame!$T$20,B877,A877))</f>
        <v/>
      </c>
    </row>
    <row r="878" spans="1:2">
      <c r="A878" t="str">
        <f>IF(livegame!$V$21,"",IF(A878&lt;&gt;"",A878,IF(AND(livegame!$T$20,livegame!$U$20&lt;&gt;"",B878="",B877&lt;&gt;""),livegame!$U$20,"")))</f>
        <v/>
      </c>
      <c r="B878" t="str">
        <f>IF(livegame!$V$21,"",IF(livegame!$T$20,B878,A878))</f>
        <v/>
      </c>
    </row>
    <row r="879" spans="1:2">
      <c r="A879" t="str">
        <f>IF(livegame!$V$21,"",IF(A879&lt;&gt;"",A879,IF(AND(livegame!$T$20,livegame!$U$20&lt;&gt;"",B879="",B878&lt;&gt;""),livegame!$U$20,"")))</f>
        <v/>
      </c>
      <c r="B879" t="str">
        <f>IF(livegame!$V$21,"",IF(livegame!$T$20,B879,A879))</f>
        <v/>
      </c>
    </row>
    <row r="880" spans="1:2">
      <c r="A880" t="str">
        <f>IF(livegame!$V$21,"",IF(A880&lt;&gt;"",A880,IF(AND(livegame!$T$20,livegame!$U$20&lt;&gt;"",B880="",B879&lt;&gt;""),livegame!$U$20,"")))</f>
        <v/>
      </c>
      <c r="B880" t="str">
        <f>IF(livegame!$V$21,"",IF(livegame!$T$20,B880,A880))</f>
        <v/>
      </c>
    </row>
    <row r="881" spans="1:2">
      <c r="A881" t="str">
        <f>IF(livegame!$V$21,"",IF(A881&lt;&gt;"",A881,IF(AND(livegame!$T$20,livegame!$U$20&lt;&gt;"",B881="",B880&lt;&gt;""),livegame!$U$20,"")))</f>
        <v/>
      </c>
      <c r="B881" t="str">
        <f>IF(livegame!$V$21,"",IF(livegame!$T$20,B881,A881))</f>
        <v/>
      </c>
    </row>
    <row r="882" spans="1:2">
      <c r="A882" t="str">
        <f>IF(livegame!$V$21,"",IF(A882&lt;&gt;"",A882,IF(AND(livegame!$T$20,livegame!$U$20&lt;&gt;"",B882="",B881&lt;&gt;""),livegame!$U$20,"")))</f>
        <v/>
      </c>
      <c r="B882" t="str">
        <f>IF(livegame!$V$21,"",IF(livegame!$T$20,B882,A882))</f>
        <v/>
      </c>
    </row>
    <row r="883" spans="1:2">
      <c r="A883" t="str">
        <f>IF(livegame!$V$21,"",IF(A883&lt;&gt;"",A883,IF(AND(livegame!$T$20,livegame!$U$20&lt;&gt;"",B883="",B882&lt;&gt;""),livegame!$U$20,"")))</f>
        <v/>
      </c>
      <c r="B883" t="str">
        <f>IF(livegame!$V$21,"",IF(livegame!$T$20,B883,A883))</f>
        <v/>
      </c>
    </row>
    <row r="884" spans="1:2">
      <c r="A884" t="str">
        <f>IF(livegame!$V$21,"",IF(A884&lt;&gt;"",A884,IF(AND(livegame!$T$20,livegame!$U$20&lt;&gt;"",B884="",B883&lt;&gt;""),livegame!$U$20,"")))</f>
        <v/>
      </c>
      <c r="B884" t="str">
        <f>IF(livegame!$V$21,"",IF(livegame!$T$20,B884,A884))</f>
        <v/>
      </c>
    </row>
    <row r="885" spans="1:2">
      <c r="A885" t="str">
        <f>IF(livegame!$V$21,"",IF(A885&lt;&gt;"",A885,IF(AND(livegame!$T$20,livegame!$U$20&lt;&gt;"",B885="",B884&lt;&gt;""),livegame!$U$20,"")))</f>
        <v/>
      </c>
      <c r="B885" t="str">
        <f>IF(livegame!$V$21,"",IF(livegame!$T$20,B885,A885))</f>
        <v/>
      </c>
    </row>
    <row r="886" spans="1:2">
      <c r="A886" t="str">
        <f>IF(livegame!$V$21,"",IF(A886&lt;&gt;"",A886,IF(AND(livegame!$T$20,livegame!$U$20&lt;&gt;"",B886="",B885&lt;&gt;""),livegame!$U$20,"")))</f>
        <v/>
      </c>
      <c r="B886" t="str">
        <f>IF(livegame!$V$21,"",IF(livegame!$T$20,B886,A886))</f>
        <v/>
      </c>
    </row>
    <row r="887" spans="1:2">
      <c r="A887" t="str">
        <f>IF(livegame!$V$21,"",IF(A887&lt;&gt;"",A887,IF(AND(livegame!$T$20,livegame!$U$20&lt;&gt;"",B887="",B886&lt;&gt;""),livegame!$U$20,"")))</f>
        <v/>
      </c>
      <c r="B887" t="str">
        <f>IF(livegame!$V$21,"",IF(livegame!$T$20,B887,A887))</f>
        <v/>
      </c>
    </row>
    <row r="888" spans="1:2">
      <c r="A888" t="str">
        <f>IF(livegame!$V$21,"",IF(A888&lt;&gt;"",A888,IF(AND(livegame!$T$20,livegame!$U$20&lt;&gt;"",B888="",B887&lt;&gt;""),livegame!$U$20,"")))</f>
        <v/>
      </c>
      <c r="B888" t="str">
        <f>IF(livegame!$V$21,"",IF(livegame!$T$20,B888,A888))</f>
        <v/>
      </c>
    </row>
    <row r="889" spans="1:2">
      <c r="A889" t="str">
        <f>IF(livegame!$V$21,"",IF(A889&lt;&gt;"",A889,IF(AND(livegame!$T$20,livegame!$U$20&lt;&gt;"",B889="",B888&lt;&gt;""),livegame!$U$20,"")))</f>
        <v/>
      </c>
      <c r="B889" t="str">
        <f>IF(livegame!$V$21,"",IF(livegame!$T$20,B889,A889))</f>
        <v/>
      </c>
    </row>
    <row r="890" spans="1:2">
      <c r="A890" t="str">
        <f>IF(livegame!$V$21,"",IF(A890&lt;&gt;"",A890,IF(AND(livegame!$T$20,livegame!$U$20&lt;&gt;"",B890="",B889&lt;&gt;""),livegame!$U$20,"")))</f>
        <v/>
      </c>
      <c r="B890" t="str">
        <f>IF(livegame!$V$21,"",IF(livegame!$T$20,B890,A890))</f>
        <v/>
      </c>
    </row>
    <row r="891" spans="1:2">
      <c r="A891" t="str">
        <f>IF(livegame!$V$21,"",IF(A891&lt;&gt;"",A891,IF(AND(livegame!$T$20,livegame!$U$20&lt;&gt;"",B891="",B890&lt;&gt;""),livegame!$U$20,"")))</f>
        <v/>
      </c>
      <c r="B891" t="str">
        <f>IF(livegame!$V$21,"",IF(livegame!$T$20,B891,A891))</f>
        <v/>
      </c>
    </row>
    <row r="892" spans="1:2">
      <c r="A892" t="str">
        <f>IF(livegame!$V$21,"",IF(A892&lt;&gt;"",A892,IF(AND(livegame!$T$20,livegame!$U$20&lt;&gt;"",B892="",B891&lt;&gt;""),livegame!$U$20,"")))</f>
        <v/>
      </c>
      <c r="B892" t="str">
        <f>IF(livegame!$V$21,"",IF(livegame!$T$20,B892,A892))</f>
        <v/>
      </c>
    </row>
    <row r="893" spans="1:2">
      <c r="A893" t="str">
        <f>IF(livegame!$V$21,"",IF(A893&lt;&gt;"",A893,IF(AND(livegame!$T$20,livegame!$U$20&lt;&gt;"",B893="",B892&lt;&gt;""),livegame!$U$20,"")))</f>
        <v/>
      </c>
      <c r="B893" t="str">
        <f>IF(livegame!$V$21,"",IF(livegame!$T$20,B893,A893))</f>
        <v/>
      </c>
    </row>
    <row r="894" spans="1:2">
      <c r="A894" t="str">
        <f>IF(livegame!$V$21,"",IF(A894&lt;&gt;"",A894,IF(AND(livegame!$T$20,livegame!$U$20&lt;&gt;"",B894="",B893&lt;&gt;""),livegame!$U$20,"")))</f>
        <v/>
      </c>
      <c r="B894" t="str">
        <f>IF(livegame!$V$21,"",IF(livegame!$T$20,B894,A894))</f>
        <v/>
      </c>
    </row>
    <row r="895" spans="1:2">
      <c r="A895" t="str">
        <f>IF(livegame!$V$21,"",IF(A895&lt;&gt;"",A895,IF(AND(livegame!$T$20,livegame!$U$20&lt;&gt;"",B895="",B894&lt;&gt;""),livegame!$U$20,"")))</f>
        <v/>
      </c>
      <c r="B895" t="str">
        <f>IF(livegame!$V$21,"",IF(livegame!$T$20,B895,A895))</f>
        <v/>
      </c>
    </row>
    <row r="896" spans="1:2">
      <c r="A896" t="str">
        <f>IF(livegame!$V$21,"",IF(A896&lt;&gt;"",A896,IF(AND(livegame!$T$20,livegame!$U$20&lt;&gt;"",B896="",B895&lt;&gt;""),livegame!$U$20,"")))</f>
        <v/>
      </c>
      <c r="B896" t="str">
        <f>IF(livegame!$V$21,"",IF(livegame!$T$20,B896,A896))</f>
        <v/>
      </c>
    </row>
    <row r="897" spans="1:2">
      <c r="A897" t="str">
        <f>IF(livegame!$V$21,"",IF(A897&lt;&gt;"",A897,IF(AND(livegame!$T$20,livegame!$U$20&lt;&gt;"",B897="",B896&lt;&gt;""),livegame!$U$20,"")))</f>
        <v/>
      </c>
      <c r="B897" t="str">
        <f>IF(livegame!$V$21,"",IF(livegame!$T$20,B897,A897))</f>
        <v/>
      </c>
    </row>
    <row r="898" spans="1:2">
      <c r="A898" t="str">
        <f>IF(livegame!$V$21,"",IF(A898&lt;&gt;"",A898,IF(AND(livegame!$T$20,livegame!$U$20&lt;&gt;"",B898="",B897&lt;&gt;""),livegame!$U$20,"")))</f>
        <v/>
      </c>
      <c r="B898" t="str">
        <f>IF(livegame!$V$21,"",IF(livegame!$T$20,B898,A898))</f>
        <v/>
      </c>
    </row>
    <row r="899" spans="1:2">
      <c r="A899" t="str">
        <f>IF(livegame!$V$21,"",IF(A899&lt;&gt;"",A899,IF(AND(livegame!$T$20,livegame!$U$20&lt;&gt;"",B899="",B898&lt;&gt;""),livegame!$U$20,"")))</f>
        <v/>
      </c>
      <c r="B899" t="str">
        <f>IF(livegame!$V$21,"",IF(livegame!$T$20,B899,A899))</f>
        <v/>
      </c>
    </row>
    <row r="900" spans="1:2">
      <c r="A900" t="str">
        <f>IF(livegame!$V$21,"",IF(A900&lt;&gt;"",A900,IF(AND(livegame!$T$20,livegame!$U$20&lt;&gt;"",B900="",B899&lt;&gt;""),livegame!$U$20,"")))</f>
        <v/>
      </c>
      <c r="B900" t="str">
        <f>IF(livegame!$V$21,"",IF(livegame!$T$20,B900,A900))</f>
        <v/>
      </c>
    </row>
    <row r="901" spans="1:2">
      <c r="A901" t="str">
        <f>IF(livegame!$V$21,"",IF(A901&lt;&gt;"",A901,IF(AND(livegame!$T$20,livegame!$U$20&lt;&gt;"",B901="",B900&lt;&gt;""),livegame!$U$20,"")))</f>
        <v/>
      </c>
      <c r="B901" t="str">
        <f>IF(livegame!$V$21,"",IF(livegame!$T$20,B901,A901))</f>
        <v/>
      </c>
    </row>
    <row r="902" spans="1:2">
      <c r="A902" t="str">
        <f>IF(livegame!$V$21,"",IF(A902&lt;&gt;"",A902,IF(AND(livegame!$T$20,livegame!$U$20&lt;&gt;"",B902="",B901&lt;&gt;""),livegame!$U$20,"")))</f>
        <v/>
      </c>
      <c r="B902" t="str">
        <f>IF(livegame!$V$21,"",IF(livegame!$T$20,B902,A902))</f>
        <v/>
      </c>
    </row>
    <row r="903" spans="1:2">
      <c r="A903" t="str">
        <f>IF(livegame!$V$21,"",IF(A903&lt;&gt;"",A903,IF(AND(livegame!$T$20,livegame!$U$20&lt;&gt;"",B903="",B902&lt;&gt;""),livegame!$U$20,"")))</f>
        <v/>
      </c>
      <c r="B903" t="str">
        <f>IF(livegame!$V$21,"",IF(livegame!$T$20,B903,A903))</f>
        <v/>
      </c>
    </row>
    <row r="904" spans="1:2">
      <c r="A904" t="str">
        <f>IF(livegame!$V$21,"",IF(A904&lt;&gt;"",A904,IF(AND(livegame!$T$20,livegame!$U$20&lt;&gt;"",B904="",B903&lt;&gt;""),livegame!$U$20,"")))</f>
        <v/>
      </c>
      <c r="B904" t="str">
        <f>IF(livegame!$V$21,"",IF(livegame!$T$20,B904,A904))</f>
        <v/>
      </c>
    </row>
    <row r="905" spans="1:2">
      <c r="A905" t="str">
        <f>IF(livegame!$V$21,"",IF(A905&lt;&gt;"",A905,IF(AND(livegame!$T$20,livegame!$U$20&lt;&gt;"",B905="",B904&lt;&gt;""),livegame!$U$20,"")))</f>
        <v/>
      </c>
      <c r="B905" t="str">
        <f>IF(livegame!$V$21,"",IF(livegame!$T$20,B905,A905))</f>
        <v/>
      </c>
    </row>
    <row r="906" spans="1:2">
      <c r="A906" t="str">
        <f>IF(livegame!$V$21,"",IF(A906&lt;&gt;"",A906,IF(AND(livegame!$T$20,livegame!$U$20&lt;&gt;"",B906="",B905&lt;&gt;""),livegame!$U$20,"")))</f>
        <v/>
      </c>
      <c r="B906" t="str">
        <f>IF(livegame!$V$21,"",IF(livegame!$T$20,B906,A906))</f>
        <v/>
      </c>
    </row>
    <row r="907" spans="1:2">
      <c r="A907" t="str">
        <f>IF(livegame!$V$21,"",IF(A907&lt;&gt;"",A907,IF(AND(livegame!$T$20,livegame!$U$20&lt;&gt;"",B907="",B906&lt;&gt;""),livegame!$U$20,"")))</f>
        <v/>
      </c>
      <c r="B907" t="str">
        <f>IF(livegame!$V$21,"",IF(livegame!$T$20,B907,A907))</f>
        <v/>
      </c>
    </row>
    <row r="908" spans="1:2">
      <c r="A908" t="str">
        <f>IF(livegame!$V$21,"",IF(A908&lt;&gt;"",A908,IF(AND(livegame!$T$20,livegame!$U$20&lt;&gt;"",B908="",B907&lt;&gt;""),livegame!$U$20,"")))</f>
        <v/>
      </c>
      <c r="B908" t="str">
        <f>IF(livegame!$V$21,"",IF(livegame!$T$20,B908,A908))</f>
        <v/>
      </c>
    </row>
    <row r="909" spans="1:2">
      <c r="A909" t="str">
        <f>IF(livegame!$V$21,"",IF(A909&lt;&gt;"",A909,IF(AND(livegame!$T$20,livegame!$U$20&lt;&gt;"",B909="",B908&lt;&gt;""),livegame!$U$20,"")))</f>
        <v/>
      </c>
      <c r="B909" t="str">
        <f>IF(livegame!$V$21,"",IF(livegame!$T$20,B909,A909))</f>
        <v/>
      </c>
    </row>
    <row r="910" spans="1:2">
      <c r="A910" t="str">
        <f>IF(livegame!$V$21,"",IF(A910&lt;&gt;"",A910,IF(AND(livegame!$T$20,livegame!$U$20&lt;&gt;"",B910="",B909&lt;&gt;""),livegame!$U$20,"")))</f>
        <v/>
      </c>
      <c r="B910" t="str">
        <f>IF(livegame!$V$21,"",IF(livegame!$T$20,B910,A910))</f>
        <v/>
      </c>
    </row>
    <row r="911" spans="1:2">
      <c r="A911" t="str">
        <f>IF(livegame!$V$21,"",IF(A911&lt;&gt;"",A911,IF(AND(livegame!$T$20,livegame!$U$20&lt;&gt;"",B911="",B910&lt;&gt;""),livegame!$U$20,"")))</f>
        <v/>
      </c>
      <c r="B911" t="str">
        <f>IF(livegame!$V$21,"",IF(livegame!$T$20,B911,A911))</f>
        <v/>
      </c>
    </row>
    <row r="912" spans="1:2">
      <c r="A912" t="str">
        <f>IF(livegame!$V$21,"",IF(A912&lt;&gt;"",A912,IF(AND(livegame!$T$20,livegame!$U$20&lt;&gt;"",B912="",B911&lt;&gt;""),livegame!$U$20,"")))</f>
        <v/>
      </c>
      <c r="B912" t="str">
        <f>IF(livegame!$V$21,"",IF(livegame!$T$20,B912,A912))</f>
        <v/>
      </c>
    </row>
    <row r="913" spans="1:2">
      <c r="A913" t="str">
        <f>IF(livegame!$V$21,"",IF(A913&lt;&gt;"",A913,IF(AND(livegame!$T$20,livegame!$U$20&lt;&gt;"",B913="",B912&lt;&gt;""),livegame!$U$20,"")))</f>
        <v/>
      </c>
      <c r="B913" t="str">
        <f>IF(livegame!$V$21,"",IF(livegame!$T$20,B913,A913))</f>
        <v/>
      </c>
    </row>
    <row r="914" spans="1:2">
      <c r="A914" t="str">
        <f>IF(livegame!$V$21,"",IF(A914&lt;&gt;"",A914,IF(AND(livegame!$T$20,livegame!$U$20&lt;&gt;"",B914="",B913&lt;&gt;""),livegame!$U$20,"")))</f>
        <v/>
      </c>
      <c r="B914" t="str">
        <f>IF(livegame!$V$21,"",IF(livegame!$T$20,B914,A914))</f>
        <v/>
      </c>
    </row>
    <row r="915" spans="1:2">
      <c r="A915" t="str">
        <f>IF(livegame!$V$21,"",IF(A915&lt;&gt;"",A915,IF(AND(livegame!$T$20,livegame!$U$20&lt;&gt;"",B915="",B914&lt;&gt;""),livegame!$U$20,"")))</f>
        <v/>
      </c>
      <c r="B915" t="str">
        <f>IF(livegame!$V$21,"",IF(livegame!$T$20,B915,A915))</f>
        <v/>
      </c>
    </row>
    <row r="916" spans="1:2">
      <c r="A916" t="str">
        <f>IF(livegame!$V$21,"",IF(A916&lt;&gt;"",A916,IF(AND(livegame!$T$20,livegame!$U$20&lt;&gt;"",B916="",B915&lt;&gt;""),livegame!$U$20,"")))</f>
        <v/>
      </c>
      <c r="B916" t="str">
        <f>IF(livegame!$V$21,"",IF(livegame!$T$20,B916,A916))</f>
        <v/>
      </c>
    </row>
    <row r="917" spans="1:2">
      <c r="A917" t="str">
        <f>IF(livegame!$V$21,"",IF(A917&lt;&gt;"",A917,IF(AND(livegame!$T$20,livegame!$U$20&lt;&gt;"",B917="",B916&lt;&gt;""),livegame!$U$20,"")))</f>
        <v/>
      </c>
      <c r="B917" t="str">
        <f>IF(livegame!$V$21,"",IF(livegame!$T$20,B917,A917))</f>
        <v/>
      </c>
    </row>
    <row r="918" spans="1:2">
      <c r="A918" t="str">
        <f>IF(livegame!$V$21,"",IF(A918&lt;&gt;"",A918,IF(AND(livegame!$T$20,livegame!$U$20&lt;&gt;"",B918="",B917&lt;&gt;""),livegame!$U$20,"")))</f>
        <v/>
      </c>
      <c r="B918" t="str">
        <f>IF(livegame!$V$21,"",IF(livegame!$T$20,B918,A918))</f>
        <v/>
      </c>
    </row>
    <row r="919" spans="1:2">
      <c r="A919" t="str">
        <f>IF(livegame!$V$21,"",IF(A919&lt;&gt;"",A919,IF(AND(livegame!$T$20,livegame!$U$20&lt;&gt;"",B919="",B918&lt;&gt;""),livegame!$U$20,"")))</f>
        <v/>
      </c>
      <c r="B919" t="str">
        <f>IF(livegame!$V$21,"",IF(livegame!$T$20,B919,A919))</f>
        <v/>
      </c>
    </row>
    <row r="920" spans="1:2">
      <c r="A920" t="str">
        <f>IF(livegame!$V$21,"",IF(A920&lt;&gt;"",A920,IF(AND(livegame!$T$20,livegame!$U$20&lt;&gt;"",B920="",B919&lt;&gt;""),livegame!$U$20,"")))</f>
        <v/>
      </c>
      <c r="B920" t="str">
        <f>IF(livegame!$V$21,"",IF(livegame!$T$20,B920,A920))</f>
        <v/>
      </c>
    </row>
    <row r="921" spans="1:2">
      <c r="A921" t="str">
        <f>IF(livegame!$V$21,"",IF(A921&lt;&gt;"",A921,IF(AND(livegame!$T$20,livegame!$U$20&lt;&gt;"",B921="",B920&lt;&gt;""),livegame!$U$20,"")))</f>
        <v/>
      </c>
      <c r="B921" t="str">
        <f>IF(livegame!$V$21,"",IF(livegame!$T$20,B921,A921))</f>
        <v/>
      </c>
    </row>
    <row r="922" spans="1:2">
      <c r="A922" t="str">
        <f>IF(livegame!$V$21,"",IF(A922&lt;&gt;"",A922,IF(AND(livegame!$T$20,livegame!$U$20&lt;&gt;"",B922="",B921&lt;&gt;""),livegame!$U$20,"")))</f>
        <v/>
      </c>
      <c r="B922" t="str">
        <f>IF(livegame!$V$21,"",IF(livegame!$T$20,B922,A922))</f>
        <v/>
      </c>
    </row>
    <row r="923" spans="1:2">
      <c r="A923" t="str">
        <f>IF(livegame!$V$21,"",IF(A923&lt;&gt;"",A923,IF(AND(livegame!$T$20,livegame!$U$20&lt;&gt;"",B923="",B922&lt;&gt;""),livegame!$U$20,"")))</f>
        <v/>
      </c>
      <c r="B923" t="str">
        <f>IF(livegame!$V$21,"",IF(livegame!$T$20,B923,A923))</f>
        <v/>
      </c>
    </row>
    <row r="924" spans="1:2">
      <c r="A924" t="str">
        <f>IF(livegame!$V$21,"",IF(A924&lt;&gt;"",A924,IF(AND(livegame!$T$20,livegame!$U$20&lt;&gt;"",B924="",B923&lt;&gt;""),livegame!$U$20,"")))</f>
        <v/>
      </c>
      <c r="B924" t="str">
        <f>IF(livegame!$V$21,"",IF(livegame!$T$20,B924,A924))</f>
        <v/>
      </c>
    </row>
    <row r="925" spans="1:2">
      <c r="A925" t="str">
        <f>IF(livegame!$V$21,"",IF(A925&lt;&gt;"",A925,IF(AND(livegame!$T$20,livegame!$U$20&lt;&gt;"",B925="",B924&lt;&gt;""),livegame!$U$20,"")))</f>
        <v/>
      </c>
      <c r="B925" t="str">
        <f>IF(livegame!$V$21,"",IF(livegame!$T$20,B925,A925))</f>
        <v/>
      </c>
    </row>
    <row r="926" spans="1:2">
      <c r="A926" t="str">
        <f>IF(livegame!$V$21,"",IF(A926&lt;&gt;"",A926,IF(AND(livegame!$T$20,livegame!$U$20&lt;&gt;"",B926="",B925&lt;&gt;""),livegame!$U$20,"")))</f>
        <v/>
      </c>
      <c r="B926" t="str">
        <f>IF(livegame!$V$21,"",IF(livegame!$T$20,B926,A926))</f>
        <v/>
      </c>
    </row>
    <row r="927" spans="1:2">
      <c r="A927" t="str">
        <f>IF(livegame!$V$21,"",IF(A927&lt;&gt;"",A927,IF(AND(livegame!$T$20,livegame!$U$20&lt;&gt;"",B927="",B926&lt;&gt;""),livegame!$U$20,"")))</f>
        <v/>
      </c>
      <c r="B927" t="str">
        <f>IF(livegame!$V$21,"",IF(livegame!$T$20,B927,A927))</f>
        <v/>
      </c>
    </row>
    <row r="928" spans="1:2">
      <c r="A928" t="str">
        <f>IF(livegame!$V$21,"",IF(A928&lt;&gt;"",A928,IF(AND(livegame!$T$20,livegame!$U$20&lt;&gt;"",B928="",B927&lt;&gt;""),livegame!$U$20,"")))</f>
        <v/>
      </c>
      <c r="B928" t="str">
        <f>IF(livegame!$V$21,"",IF(livegame!$T$20,B928,A928))</f>
        <v/>
      </c>
    </row>
    <row r="929" spans="1:2">
      <c r="A929" t="str">
        <f>IF(livegame!$V$21,"",IF(A929&lt;&gt;"",A929,IF(AND(livegame!$T$20,livegame!$U$20&lt;&gt;"",B929="",B928&lt;&gt;""),livegame!$U$20,"")))</f>
        <v/>
      </c>
      <c r="B929" t="str">
        <f>IF(livegame!$V$21,"",IF(livegame!$T$20,B929,A929))</f>
        <v/>
      </c>
    </row>
    <row r="930" spans="1:2">
      <c r="A930" t="str">
        <f>IF(livegame!$V$21,"",IF(A930&lt;&gt;"",A930,IF(AND(livegame!$T$20,livegame!$U$20&lt;&gt;"",B930="",B929&lt;&gt;""),livegame!$U$20,"")))</f>
        <v/>
      </c>
      <c r="B930" t="str">
        <f>IF(livegame!$V$21,"",IF(livegame!$T$20,B930,A930))</f>
        <v/>
      </c>
    </row>
    <row r="931" spans="1:2">
      <c r="A931" t="str">
        <f>IF(livegame!$V$21,"",IF(A931&lt;&gt;"",A931,IF(AND(livegame!$T$20,livegame!$U$20&lt;&gt;"",B931="",B930&lt;&gt;""),livegame!$U$20,"")))</f>
        <v/>
      </c>
      <c r="B931" t="str">
        <f>IF(livegame!$V$21,"",IF(livegame!$T$20,B931,A931))</f>
        <v/>
      </c>
    </row>
    <row r="932" spans="1:2">
      <c r="A932" t="str">
        <f>IF(livegame!$V$21,"",IF(A932&lt;&gt;"",A932,IF(AND(livegame!$T$20,livegame!$U$20&lt;&gt;"",B932="",B931&lt;&gt;""),livegame!$U$20,"")))</f>
        <v/>
      </c>
      <c r="B932" t="str">
        <f>IF(livegame!$V$21,"",IF(livegame!$T$20,B932,A932))</f>
        <v/>
      </c>
    </row>
    <row r="933" spans="1:2">
      <c r="A933" t="str">
        <f>IF(livegame!$V$21,"",IF(A933&lt;&gt;"",A933,IF(AND(livegame!$T$20,livegame!$U$20&lt;&gt;"",B933="",B932&lt;&gt;""),livegame!$U$20,"")))</f>
        <v/>
      </c>
      <c r="B933" t="str">
        <f>IF(livegame!$V$21,"",IF(livegame!$T$20,B933,A933))</f>
        <v/>
      </c>
    </row>
    <row r="934" spans="1:2">
      <c r="A934" t="str">
        <f>IF(livegame!$V$21,"",IF(A934&lt;&gt;"",A934,IF(AND(livegame!$T$20,livegame!$U$20&lt;&gt;"",B934="",B933&lt;&gt;""),livegame!$U$20,"")))</f>
        <v/>
      </c>
      <c r="B934" t="str">
        <f>IF(livegame!$V$21,"",IF(livegame!$T$20,B934,A934))</f>
        <v/>
      </c>
    </row>
    <row r="935" spans="1:2">
      <c r="A935" t="str">
        <f>IF(livegame!$V$21,"",IF(A935&lt;&gt;"",A935,IF(AND(livegame!$T$20,livegame!$U$20&lt;&gt;"",B935="",B934&lt;&gt;""),livegame!$U$20,"")))</f>
        <v/>
      </c>
      <c r="B935" t="str">
        <f>IF(livegame!$V$21,"",IF(livegame!$T$20,B935,A935))</f>
        <v/>
      </c>
    </row>
    <row r="936" spans="1:2">
      <c r="A936" t="str">
        <f>IF(livegame!$V$21,"",IF(A936&lt;&gt;"",A936,IF(AND(livegame!$T$20,livegame!$U$20&lt;&gt;"",B936="",B935&lt;&gt;""),livegame!$U$20,"")))</f>
        <v/>
      </c>
      <c r="B936" t="str">
        <f>IF(livegame!$V$21,"",IF(livegame!$T$20,B936,A936))</f>
        <v/>
      </c>
    </row>
    <row r="937" spans="1:2">
      <c r="A937" t="str">
        <f>IF(livegame!$V$21,"",IF(A937&lt;&gt;"",A937,IF(AND(livegame!$T$20,livegame!$U$20&lt;&gt;"",B937="",B936&lt;&gt;""),livegame!$U$20,"")))</f>
        <v/>
      </c>
      <c r="B937" t="str">
        <f>IF(livegame!$V$21,"",IF(livegame!$T$20,B937,A937))</f>
        <v/>
      </c>
    </row>
    <row r="938" spans="1:2">
      <c r="A938" t="str">
        <f>IF(livegame!$V$21,"",IF(A938&lt;&gt;"",A938,IF(AND(livegame!$T$20,livegame!$U$20&lt;&gt;"",B938="",B937&lt;&gt;""),livegame!$U$20,"")))</f>
        <v/>
      </c>
      <c r="B938" t="str">
        <f>IF(livegame!$V$21,"",IF(livegame!$T$20,B938,A938))</f>
        <v/>
      </c>
    </row>
    <row r="939" spans="1:2">
      <c r="A939" t="str">
        <f>IF(livegame!$V$21,"",IF(A939&lt;&gt;"",A939,IF(AND(livegame!$T$20,livegame!$U$20&lt;&gt;"",B939="",B938&lt;&gt;""),livegame!$U$20,"")))</f>
        <v/>
      </c>
      <c r="B939" t="str">
        <f>IF(livegame!$V$21,"",IF(livegame!$T$20,B939,A939))</f>
        <v/>
      </c>
    </row>
    <row r="940" spans="1:2">
      <c r="A940" t="str">
        <f>IF(livegame!$V$21,"",IF(A940&lt;&gt;"",A940,IF(AND(livegame!$T$20,livegame!$U$20&lt;&gt;"",B940="",B939&lt;&gt;""),livegame!$U$20,"")))</f>
        <v/>
      </c>
      <c r="B940" t="str">
        <f>IF(livegame!$V$21,"",IF(livegame!$T$20,B940,A940))</f>
        <v/>
      </c>
    </row>
    <row r="941" spans="1:2">
      <c r="A941" t="str">
        <f>IF(livegame!$V$21,"",IF(A941&lt;&gt;"",A941,IF(AND(livegame!$T$20,livegame!$U$20&lt;&gt;"",B941="",B940&lt;&gt;""),livegame!$U$20,"")))</f>
        <v/>
      </c>
      <c r="B941" t="str">
        <f>IF(livegame!$V$21,"",IF(livegame!$T$20,B941,A941))</f>
        <v/>
      </c>
    </row>
    <row r="942" spans="1:2">
      <c r="A942" t="str">
        <f>IF(livegame!$V$21,"",IF(A942&lt;&gt;"",A942,IF(AND(livegame!$T$20,livegame!$U$20&lt;&gt;"",B942="",B941&lt;&gt;""),livegame!$U$20,"")))</f>
        <v/>
      </c>
      <c r="B942" t="str">
        <f>IF(livegame!$V$21,"",IF(livegame!$T$20,B942,A942))</f>
        <v/>
      </c>
    </row>
    <row r="943" spans="1:2">
      <c r="A943" t="str">
        <f>IF(livegame!$V$21,"",IF(A943&lt;&gt;"",A943,IF(AND(livegame!$T$20,livegame!$U$20&lt;&gt;"",B943="",B942&lt;&gt;""),livegame!$U$20,"")))</f>
        <v/>
      </c>
      <c r="B943" t="str">
        <f>IF(livegame!$V$21,"",IF(livegame!$T$20,B943,A943))</f>
        <v/>
      </c>
    </row>
    <row r="944" spans="1:2">
      <c r="A944" t="str">
        <f>IF(livegame!$V$21,"",IF(A944&lt;&gt;"",A944,IF(AND(livegame!$T$20,livegame!$U$20&lt;&gt;"",B944="",B943&lt;&gt;""),livegame!$U$20,"")))</f>
        <v/>
      </c>
      <c r="B944" t="str">
        <f>IF(livegame!$V$21,"",IF(livegame!$T$20,B944,A944))</f>
        <v/>
      </c>
    </row>
    <row r="945" spans="1:2">
      <c r="A945" t="str">
        <f>IF(livegame!$V$21,"",IF(A945&lt;&gt;"",A945,IF(AND(livegame!$T$20,livegame!$U$20&lt;&gt;"",B945="",B944&lt;&gt;""),livegame!$U$20,"")))</f>
        <v/>
      </c>
      <c r="B945" t="str">
        <f>IF(livegame!$V$21,"",IF(livegame!$T$20,B945,A945))</f>
        <v/>
      </c>
    </row>
    <row r="946" spans="1:2">
      <c r="A946" t="str">
        <f>IF(livegame!$V$21,"",IF(A946&lt;&gt;"",A946,IF(AND(livegame!$T$20,livegame!$U$20&lt;&gt;"",B946="",B945&lt;&gt;""),livegame!$U$20,"")))</f>
        <v/>
      </c>
      <c r="B946" t="str">
        <f>IF(livegame!$V$21,"",IF(livegame!$T$20,B946,A946))</f>
        <v/>
      </c>
    </row>
    <row r="947" spans="1:2">
      <c r="A947" t="str">
        <f>IF(livegame!$V$21,"",IF(A947&lt;&gt;"",A947,IF(AND(livegame!$T$20,livegame!$U$20&lt;&gt;"",B947="",B946&lt;&gt;""),livegame!$U$20,"")))</f>
        <v/>
      </c>
      <c r="B947" t="str">
        <f>IF(livegame!$V$21,"",IF(livegame!$T$20,B947,A947))</f>
        <v/>
      </c>
    </row>
    <row r="948" spans="1:2">
      <c r="A948" t="str">
        <f>IF(livegame!$V$21,"",IF(A948&lt;&gt;"",A948,IF(AND(livegame!$T$20,livegame!$U$20&lt;&gt;"",B948="",B947&lt;&gt;""),livegame!$U$20,"")))</f>
        <v/>
      </c>
      <c r="B948" t="str">
        <f>IF(livegame!$V$21,"",IF(livegame!$T$20,B948,A948))</f>
        <v/>
      </c>
    </row>
    <row r="949" spans="1:2">
      <c r="A949" t="str">
        <f>IF(livegame!$V$21,"",IF(A949&lt;&gt;"",A949,IF(AND(livegame!$T$20,livegame!$U$20&lt;&gt;"",B949="",B948&lt;&gt;""),livegame!$U$20,"")))</f>
        <v/>
      </c>
      <c r="B949" t="str">
        <f>IF(livegame!$V$21,"",IF(livegame!$T$20,B949,A949))</f>
        <v/>
      </c>
    </row>
    <row r="950" spans="1:2">
      <c r="A950" t="str">
        <f>IF(livegame!$V$21,"",IF(A950&lt;&gt;"",A950,IF(AND(livegame!$T$20,livegame!$U$20&lt;&gt;"",B950="",B949&lt;&gt;""),livegame!$U$20,"")))</f>
        <v/>
      </c>
      <c r="B950" t="str">
        <f>IF(livegame!$V$21,"",IF(livegame!$T$20,B950,A950))</f>
        <v/>
      </c>
    </row>
    <row r="951" spans="1:2">
      <c r="A951" t="str">
        <f>IF(livegame!$V$21,"",IF(A951&lt;&gt;"",A951,IF(AND(livegame!$T$20,livegame!$U$20&lt;&gt;"",B951="",B950&lt;&gt;""),livegame!$U$20,"")))</f>
        <v/>
      </c>
      <c r="B951" t="str">
        <f>IF(livegame!$V$21,"",IF(livegame!$T$20,B951,A951))</f>
        <v/>
      </c>
    </row>
    <row r="952" spans="1:2">
      <c r="A952" t="str">
        <f>IF(livegame!$V$21,"",IF(A952&lt;&gt;"",A952,IF(AND(livegame!$T$20,livegame!$U$20&lt;&gt;"",B952="",B951&lt;&gt;""),livegame!$U$20,"")))</f>
        <v/>
      </c>
      <c r="B952" t="str">
        <f>IF(livegame!$V$21,"",IF(livegame!$T$20,B952,A952))</f>
        <v/>
      </c>
    </row>
    <row r="953" spans="1:2">
      <c r="A953" t="str">
        <f>IF(livegame!$V$21,"",IF(A953&lt;&gt;"",A953,IF(AND(livegame!$T$20,livegame!$U$20&lt;&gt;"",B953="",B952&lt;&gt;""),livegame!$U$20,"")))</f>
        <v/>
      </c>
      <c r="B953" t="str">
        <f>IF(livegame!$V$21,"",IF(livegame!$T$20,B953,A953))</f>
        <v/>
      </c>
    </row>
    <row r="954" spans="1:2">
      <c r="A954" t="str">
        <f>IF(livegame!$V$21,"",IF(A954&lt;&gt;"",A954,IF(AND(livegame!$T$20,livegame!$U$20&lt;&gt;"",B954="",B953&lt;&gt;""),livegame!$U$20,"")))</f>
        <v/>
      </c>
      <c r="B954" t="str">
        <f>IF(livegame!$V$21,"",IF(livegame!$T$20,B954,A954))</f>
        <v/>
      </c>
    </row>
    <row r="955" spans="1:2">
      <c r="A955" t="str">
        <f>IF(livegame!$V$21,"",IF(A955&lt;&gt;"",A955,IF(AND(livegame!$T$20,livegame!$U$20&lt;&gt;"",B955="",B954&lt;&gt;""),livegame!$U$20,"")))</f>
        <v/>
      </c>
      <c r="B955" t="str">
        <f>IF(livegame!$V$21,"",IF(livegame!$T$20,B955,A955))</f>
        <v/>
      </c>
    </row>
    <row r="956" spans="1:2">
      <c r="A956" t="str">
        <f>IF(livegame!$V$21,"",IF(A956&lt;&gt;"",A956,IF(AND(livegame!$T$20,livegame!$U$20&lt;&gt;"",B956="",B955&lt;&gt;""),livegame!$U$20,"")))</f>
        <v/>
      </c>
      <c r="B956" t="str">
        <f>IF(livegame!$V$21,"",IF(livegame!$T$20,B956,A956))</f>
        <v/>
      </c>
    </row>
    <row r="957" spans="1:2">
      <c r="A957" t="str">
        <f>IF(livegame!$V$21,"",IF(A957&lt;&gt;"",A957,IF(AND(livegame!$T$20,livegame!$U$20&lt;&gt;"",B957="",B956&lt;&gt;""),livegame!$U$20,"")))</f>
        <v/>
      </c>
      <c r="B957" t="str">
        <f>IF(livegame!$V$21,"",IF(livegame!$T$20,B957,A957))</f>
        <v/>
      </c>
    </row>
    <row r="958" spans="1:2">
      <c r="A958" t="str">
        <f>IF(livegame!$V$21,"",IF(A958&lt;&gt;"",A958,IF(AND(livegame!$T$20,livegame!$U$20&lt;&gt;"",B958="",B957&lt;&gt;""),livegame!$U$20,"")))</f>
        <v/>
      </c>
      <c r="B958" t="str">
        <f>IF(livegame!$V$21,"",IF(livegame!$T$20,B958,A958))</f>
        <v/>
      </c>
    </row>
    <row r="959" spans="1:2">
      <c r="A959" t="str">
        <f>IF(livegame!$V$21,"",IF(A959&lt;&gt;"",A959,IF(AND(livegame!$T$20,livegame!$U$20&lt;&gt;"",B959="",B958&lt;&gt;""),livegame!$U$20,"")))</f>
        <v/>
      </c>
      <c r="B959" t="str">
        <f>IF(livegame!$V$21,"",IF(livegame!$T$20,B959,A959))</f>
        <v/>
      </c>
    </row>
    <row r="960" spans="1:2">
      <c r="A960" t="str">
        <f>IF(livegame!$V$21,"",IF(A960&lt;&gt;"",A960,IF(AND(livegame!$T$20,livegame!$U$20&lt;&gt;"",B960="",B959&lt;&gt;""),livegame!$U$20,"")))</f>
        <v/>
      </c>
      <c r="B960" t="str">
        <f>IF(livegame!$V$21,"",IF(livegame!$T$20,B960,A960))</f>
        <v/>
      </c>
    </row>
    <row r="961" spans="1:2">
      <c r="A961" t="str">
        <f>IF(livegame!$V$21,"",IF(A961&lt;&gt;"",A961,IF(AND(livegame!$T$20,livegame!$U$20&lt;&gt;"",B961="",B960&lt;&gt;""),livegame!$U$20,"")))</f>
        <v/>
      </c>
      <c r="B961" t="str">
        <f>IF(livegame!$V$21,"",IF(livegame!$T$20,B961,A961))</f>
        <v/>
      </c>
    </row>
    <row r="962" spans="1:2">
      <c r="A962" t="str">
        <f>IF(livegame!$V$21,"",IF(A962&lt;&gt;"",A962,IF(AND(livegame!$T$20,livegame!$U$20&lt;&gt;"",B962="",B961&lt;&gt;""),livegame!$U$20,"")))</f>
        <v/>
      </c>
      <c r="B962" t="str">
        <f>IF(livegame!$V$21,"",IF(livegame!$T$20,B962,A962))</f>
        <v/>
      </c>
    </row>
    <row r="963" spans="1:2">
      <c r="A963" t="str">
        <f>IF(livegame!$V$21,"",IF(A963&lt;&gt;"",A963,IF(AND(livegame!$T$20,livegame!$U$20&lt;&gt;"",B963="",B962&lt;&gt;""),livegame!$U$20,"")))</f>
        <v/>
      </c>
      <c r="B963" t="str">
        <f>IF(livegame!$V$21,"",IF(livegame!$T$20,B963,A963))</f>
        <v/>
      </c>
    </row>
    <row r="964" spans="1:2">
      <c r="A964" t="str">
        <f>IF(livegame!$V$21,"",IF(A964&lt;&gt;"",A964,IF(AND(livegame!$T$20,livegame!$U$20&lt;&gt;"",B964="",B963&lt;&gt;""),livegame!$U$20,"")))</f>
        <v/>
      </c>
      <c r="B964" t="str">
        <f>IF(livegame!$V$21,"",IF(livegame!$T$20,B964,A964))</f>
        <v/>
      </c>
    </row>
    <row r="965" spans="1:2">
      <c r="A965" t="str">
        <f>IF(livegame!$V$21,"",IF(A965&lt;&gt;"",A965,IF(AND(livegame!$T$20,livegame!$U$20&lt;&gt;"",B965="",B964&lt;&gt;""),livegame!$U$20,"")))</f>
        <v/>
      </c>
      <c r="B965" t="str">
        <f>IF(livegame!$V$21,"",IF(livegame!$T$20,B965,A965))</f>
        <v/>
      </c>
    </row>
    <row r="966" spans="1:2">
      <c r="A966" t="str">
        <f>IF(livegame!$V$21,"",IF(A966&lt;&gt;"",A966,IF(AND(livegame!$T$20,livegame!$U$20&lt;&gt;"",B966="",B965&lt;&gt;""),livegame!$U$20,"")))</f>
        <v/>
      </c>
      <c r="B966" t="str">
        <f>IF(livegame!$V$21,"",IF(livegame!$T$20,B966,A966))</f>
        <v/>
      </c>
    </row>
    <row r="967" spans="1:2">
      <c r="A967" t="str">
        <f>IF(livegame!$V$21,"",IF(A967&lt;&gt;"",A967,IF(AND(livegame!$T$20,livegame!$U$20&lt;&gt;"",B967="",B966&lt;&gt;""),livegame!$U$20,"")))</f>
        <v/>
      </c>
      <c r="B967" t="str">
        <f>IF(livegame!$V$21,"",IF(livegame!$T$20,B967,A967))</f>
        <v/>
      </c>
    </row>
    <row r="968" spans="1:2">
      <c r="A968" t="str">
        <f>IF(livegame!$V$21,"",IF(A968&lt;&gt;"",A968,IF(AND(livegame!$T$20,livegame!$U$20&lt;&gt;"",B968="",B967&lt;&gt;""),livegame!$U$20,"")))</f>
        <v/>
      </c>
      <c r="B968" t="str">
        <f>IF(livegame!$V$21,"",IF(livegame!$T$20,B968,A968))</f>
        <v/>
      </c>
    </row>
    <row r="969" spans="1:2">
      <c r="A969" t="str">
        <f>IF(livegame!$V$21,"",IF(A969&lt;&gt;"",A969,IF(AND(livegame!$T$20,livegame!$U$20&lt;&gt;"",B969="",B968&lt;&gt;""),livegame!$U$20,"")))</f>
        <v/>
      </c>
      <c r="B969" t="str">
        <f>IF(livegame!$V$21,"",IF(livegame!$T$20,B969,A969))</f>
        <v/>
      </c>
    </row>
    <row r="970" spans="1:2">
      <c r="A970" t="str">
        <f>IF(livegame!$V$21,"",IF(A970&lt;&gt;"",A970,IF(AND(livegame!$T$20,livegame!$U$20&lt;&gt;"",B970="",B969&lt;&gt;""),livegame!$U$20,"")))</f>
        <v/>
      </c>
      <c r="B970" t="str">
        <f>IF(livegame!$V$21,"",IF(livegame!$T$20,B970,A970))</f>
        <v/>
      </c>
    </row>
    <row r="971" spans="1:2">
      <c r="A971" t="str">
        <f>IF(livegame!$V$21,"",IF(A971&lt;&gt;"",A971,IF(AND(livegame!$T$20,livegame!$U$20&lt;&gt;"",B971="",B970&lt;&gt;""),livegame!$U$20,"")))</f>
        <v/>
      </c>
      <c r="B971" t="str">
        <f>IF(livegame!$V$21,"",IF(livegame!$T$20,B971,A971))</f>
        <v/>
      </c>
    </row>
    <row r="972" spans="1:2">
      <c r="A972" t="str">
        <f>IF(livegame!$V$21,"",IF(A972&lt;&gt;"",A972,IF(AND(livegame!$T$20,livegame!$U$20&lt;&gt;"",B972="",B971&lt;&gt;""),livegame!$U$20,"")))</f>
        <v/>
      </c>
      <c r="B972" t="str">
        <f>IF(livegame!$V$21,"",IF(livegame!$T$20,B972,A972))</f>
        <v/>
      </c>
    </row>
    <row r="973" spans="1:2">
      <c r="A973" t="str">
        <f>IF(livegame!$V$21,"",IF(A973&lt;&gt;"",A973,IF(AND(livegame!$T$20,livegame!$U$20&lt;&gt;"",B973="",B972&lt;&gt;""),livegame!$U$20,"")))</f>
        <v/>
      </c>
      <c r="B973" t="str">
        <f>IF(livegame!$V$21,"",IF(livegame!$T$20,B973,A973))</f>
        <v/>
      </c>
    </row>
    <row r="974" spans="1:2">
      <c r="A974" t="str">
        <f>IF(livegame!$V$21,"",IF(A974&lt;&gt;"",A974,IF(AND(livegame!$T$20,livegame!$U$20&lt;&gt;"",B974="",B973&lt;&gt;""),livegame!$U$20,"")))</f>
        <v/>
      </c>
      <c r="B974" t="str">
        <f>IF(livegame!$V$21,"",IF(livegame!$T$20,B974,A974))</f>
        <v/>
      </c>
    </row>
    <row r="975" spans="1:2">
      <c r="A975" t="str">
        <f>IF(livegame!$V$21,"",IF(A975&lt;&gt;"",A975,IF(AND(livegame!$T$20,livegame!$U$20&lt;&gt;"",B975="",B974&lt;&gt;""),livegame!$U$20,"")))</f>
        <v/>
      </c>
      <c r="B975" t="str">
        <f>IF(livegame!$V$21,"",IF(livegame!$T$20,B975,A975))</f>
        <v/>
      </c>
    </row>
    <row r="976" spans="1:2">
      <c r="A976" t="str">
        <f>IF(livegame!$V$21,"",IF(A976&lt;&gt;"",A976,IF(AND(livegame!$T$20,livegame!$U$20&lt;&gt;"",B976="",B975&lt;&gt;""),livegame!$U$20,"")))</f>
        <v/>
      </c>
      <c r="B976" t="str">
        <f>IF(livegame!$V$21,"",IF(livegame!$T$20,B976,A976))</f>
        <v/>
      </c>
    </row>
    <row r="977" spans="1:2">
      <c r="A977" t="str">
        <f>IF(livegame!$V$21,"",IF(A977&lt;&gt;"",A977,IF(AND(livegame!$T$20,livegame!$U$20&lt;&gt;"",B977="",B976&lt;&gt;""),livegame!$U$20,"")))</f>
        <v/>
      </c>
      <c r="B977" t="str">
        <f>IF(livegame!$V$21,"",IF(livegame!$T$20,B977,A977))</f>
        <v/>
      </c>
    </row>
    <row r="978" spans="1:2">
      <c r="A978" t="str">
        <f>IF(livegame!$V$21,"",IF(A978&lt;&gt;"",A978,IF(AND(livegame!$T$20,livegame!$U$20&lt;&gt;"",B978="",B977&lt;&gt;""),livegame!$U$20,"")))</f>
        <v/>
      </c>
      <c r="B978" t="str">
        <f>IF(livegame!$V$21,"",IF(livegame!$T$20,B978,A978))</f>
        <v/>
      </c>
    </row>
    <row r="979" spans="1:2">
      <c r="A979" t="str">
        <f>IF(livegame!$V$21,"",IF(A979&lt;&gt;"",A979,IF(AND(livegame!$T$20,livegame!$U$20&lt;&gt;"",B979="",B978&lt;&gt;""),livegame!$U$20,"")))</f>
        <v/>
      </c>
      <c r="B979" t="str">
        <f>IF(livegame!$V$21,"",IF(livegame!$T$20,B979,A979))</f>
        <v/>
      </c>
    </row>
    <row r="980" spans="1:2">
      <c r="A980" t="str">
        <f>IF(livegame!$V$21,"",IF(A980&lt;&gt;"",A980,IF(AND(livegame!$T$20,livegame!$U$20&lt;&gt;"",B980="",B979&lt;&gt;""),livegame!$U$20,"")))</f>
        <v/>
      </c>
      <c r="B980" t="str">
        <f>IF(livegame!$V$21,"",IF(livegame!$T$20,B980,A980))</f>
        <v/>
      </c>
    </row>
    <row r="981" spans="1:2">
      <c r="A981" t="str">
        <f>IF(livegame!$V$21,"",IF(A981&lt;&gt;"",A981,IF(AND(livegame!$T$20,livegame!$U$20&lt;&gt;"",B981="",B980&lt;&gt;""),livegame!$U$20,"")))</f>
        <v/>
      </c>
      <c r="B981" t="str">
        <f>IF(livegame!$V$21,"",IF(livegame!$T$20,B981,A981))</f>
        <v/>
      </c>
    </row>
    <row r="982" spans="1:2">
      <c r="A982" t="str">
        <f>IF(livegame!$V$21,"",IF(A982&lt;&gt;"",A982,IF(AND(livegame!$T$20,livegame!$U$20&lt;&gt;"",B982="",B981&lt;&gt;""),livegame!$U$20,"")))</f>
        <v/>
      </c>
      <c r="B982" t="str">
        <f>IF(livegame!$V$21,"",IF(livegame!$T$20,B982,A982))</f>
        <v/>
      </c>
    </row>
    <row r="983" spans="1:2">
      <c r="A983" t="str">
        <f>IF(livegame!$V$21,"",IF(A983&lt;&gt;"",A983,IF(AND(livegame!$T$20,livegame!$U$20&lt;&gt;"",B983="",B982&lt;&gt;""),livegame!$U$20,"")))</f>
        <v/>
      </c>
      <c r="B983" t="str">
        <f>IF(livegame!$V$21,"",IF(livegame!$T$20,B983,A983))</f>
        <v/>
      </c>
    </row>
    <row r="984" spans="1:2">
      <c r="A984" t="str">
        <f>IF(livegame!$V$21,"",IF(A984&lt;&gt;"",A984,IF(AND(livegame!$T$20,livegame!$U$20&lt;&gt;"",B984="",B983&lt;&gt;""),livegame!$U$20,"")))</f>
        <v/>
      </c>
      <c r="B984" t="str">
        <f>IF(livegame!$V$21,"",IF(livegame!$T$20,B984,A984))</f>
        <v/>
      </c>
    </row>
    <row r="985" spans="1:2">
      <c r="A985" t="str">
        <f>IF(livegame!$V$21,"",IF(A985&lt;&gt;"",A985,IF(AND(livegame!$T$20,livegame!$U$20&lt;&gt;"",B985="",B984&lt;&gt;""),livegame!$U$20,"")))</f>
        <v/>
      </c>
      <c r="B985" t="str">
        <f>IF(livegame!$V$21,"",IF(livegame!$T$20,B985,A985))</f>
        <v/>
      </c>
    </row>
    <row r="986" spans="1:2">
      <c r="A986" t="str">
        <f>IF(livegame!$V$21,"",IF(A986&lt;&gt;"",A986,IF(AND(livegame!$T$20,livegame!$U$20&lt;&gt;"",B986="",B985&lt;&gt;""),livegame!$U$20,"")))</f>
        <v/>
      </c>
      <c r="B986" t="str">
        <f>IF(livegame!$V$21,"",IF(livegame!$T$20,B986,A986))</f>
        <v/>
      </c>
    </row>
    <row r="987" spans="1:2">
      <c r="A987" t="str">
        <f>IF(livegame!$V$21,"",IF(A987&lt;&gt;"",A987,IF(AND(livegame!$T$20,livegame!$U$20&lt;&gt;"",B987="",B986&lt;&gt;""),livegame!$U$20,"")))</f>
        <v/>
      </c>
      <c r="B987" t="str">
        <f>IF(livegame!$V$21,"",IF(livegame!$T$20,B987,A987))</f>
        <v/>
      </c>
    </row>
    <row r="988" spans="1:2">
      <c r="A988" t="str">
        <f>IF(livegame!$V$21,"",IF(A988&lt;&gt;"",A988,IF(AND(livegame!$T$20,livegame!$U$20&lt;&gt;"",B988="",B987&lt;&gt;""),livegame!$U$20,"")))</f>
        <v/>
      </c>
      <c r="B988" t="str">
        <f>IF(livegame!$V$21,"",IF(livegame!$T$20,B988,A988))</f>
        <v/>
      </c>
    </row>
    <row r="989" spans="1:2">
      <c r="A989" t="str">
        <f>IF(livegame!$V$21,"",IF(A989&lt;&gt;"",A989,IF(AND(livegame!$T$20,livegame!$U$20&lt;&gt;"",B989="",B988&lt;&gt;""),livegame!$U$20,"")))</f>
        <v/>
      </c>
      <c r="B989" t="str">
        <f>IF(livegame!$V$21,"",IF(livegame!$T$20,B989,A989))</f>
        <v/>
      </c>
    </row>
    <row r="990" spans="1:2">
      <c r="A990" t="str">
        <f>IF(livegame!$V$21,"",IF(A990&lt;&gt;"",A990,IF(AND(livegame!$T$20,livegame!$U$20&lt;&gt;"",B990="",B989&lt;&gt;""),livegame!$U$20,"")))</f>
        <v/>
      </c>
      <c r="B990" t="str">
        <f>IF(livegame!$V$21,"",IF(livegame!$T$20,B990,A990))</f>
        <v/>
      </c>
    </row>
    <row r="991" spans="1:2">
      <c r="A991" t="str">
        <f>IF(livegame!$V$21,"",IF(A991&lt;&gt;"",A991,IF(AND(livegame!$T$20,livegame!$U$20&lt;&gt;"",B991="",B990&lt;&gt;""),livegame!$U$20,"")))</f>
        <v/>
      </c>
      <c r="B991" t="str">
        <f>IF(livegame!$V$21,"",IF(livegame!$T$20,B991,A991))</f>
        <v/>
      </c>
    </row>
    <row r="992" spans="1:2">
      <c r="A992" t="str">
        <f>IF(livegame!$V$21,"",IF(A992&lt;&gt;"",A992,IF(AND(livegame!$T$20,livegame!$U$20&lt;&gt;"",B992="",B991&lt;&gt;""),livegame!$U$20,"")))</f>
        <v/>
      </c>
      <c r="B992" t="str">
        <f>IF(livegame!$V$21,"",IF(livegame!$T$20,B992,A992))</f>
        <v/>
      </c>
    </row>
    <row r="993" spans="1:2">
      <c r="A993" t="str">
        <f>IF(livegame!$V$21,"",IF(A993&lt;&gt;"",A993,IF(AND(livegame!$T$20,livegame!$U$20&lt;&gt;"",B993="",B992&lt;&gt;""),livegame!$U$20,"")))</f>
        <v/>
      </c>
      <c r="B993" t="str">
        <f>IF(livegame!$V$21,"",IF(livegame!$T$20,B993,A993))</f>
        <v/>
      </c>
    </row>
    <row r="994" spans="1:2">
      <c r="A994" t="str">
        <f>IF(livegame!$V$21,"",IF(A994&lt;&gt;"",A994,IF(AND(livegame!$T$20,livegame!$U$20&lt;&gt;"",B994="",B993&lt;&gt;""),livegame!$U$20,"")))</f>
        <v/>
      </c>
      <c r="B994" t="str">
        <f>IF(livegame!$V$21,"",IF(livegame!$T$20,B994,A994))</f>
        <v/>
      </c>
    </row>
    <row r="995" spans="1:2">
      <c r="A995" t="str">
        <f>IF(livegame!$V$21,"",IF(A995&lt;&gt;"",A995,IF(AND(livegame!$T$20,livegame!$U$20&lt;&gt;"",B995="",B994&lt;&gt;""),livegame!$U$20,"")))</f>
        <v/>
      </c>
      <c r="B995" t="str">
        <f>IF(livegame!$V$21,"",IF(livegame!$T$20,B995,A995))</f>
        <v/>
      </c>
    </row>
    <row r="996" spans="1:2">
      <c r="A996" t="str">
        <f>IF(livegame!$V$21,"",IF(A996&lt;&gt;"",A996,IF(AND(livegame!$T$20,livegame!$U$20&lt;&gt;"",B996="",B995&lt;&gt;""),livegame!$U$20,"")))</f>
        <v/>
      </c>
      <c r="B996" t="str">
        <f>IF(livegame!$V$21,"",IF(livegame!$T$20,B996,A996))</f>
        <v/>
      </c>
    </row>
    <row r="997" spans="1:2">
      <c r="A997" t="str">
        <f>IF(livegame!$V$21,"",IF(A997&lt;&gt;"",A997,IF(AND(livegame!$T$20,livegame!$U$20&lt;&gt;"",B997="",B996&lt;&gt;""),livegame!$U$20,"")))</f>
        <v/>
      </c>
      <c r="B997" t="str">
        <f>IF(livegame!$V$21,"",IF(livegame!$T$20,B997,A997))</f>
        <v/>
      </c>
    </row>
    <row r="998" spans="1:2">
      <c r="A998" t="str">
        <f>IF(livegame!$V$21,"",IF(A998&lt;&gt;"",A998,IF(AND(livegame!$T$20,livegame!$U$20&lt;&gt;"",B998="",B997&lt;&gt;""),livegame!$U$20,"")))</f>
        <v/>
      </c>
      <c r="B998" t="str">
        <f>IF(livegame!$V$21,"",IF(livegame!$T$20,B998,A998))</f>
        <v/>
      </c>
    </row>
    <row r="999" spans="1:2">
      <c r="A999" t="str">
        <f>IF(livegame!$V$21,"",IF(A999&lt;&gt;"",A999,IF(AND(livegame!$T$20,livegame!$U$20&lt;&gt;"",B999="",B998&lt;&gt;""),livegame!$U$20,"")))</f>
        <v/>
      </c>
      <c r="B999" t="str">
        <f>IF(livegame!$V$21,"",IF(livegame!$T$20,B999,A999))</f>
        <v/>
      </c>
    </row>
    <row r="1000" spans="1:2">
      <c r="A1000" t="str">
        <f>IF(livegame!$V$21,"",IF(A1000&lt;&gt;"",A1000,IF(AND(livegame!$T$20,livegame!$U$20&lt;&gt;"",B1000="",B999&lt;&gt;""),livegame!$U$20,"")))</f>
        <v/>
      </c>
      <c r="B1000" t="str">
        <f>IF(livegame!$V$21,"",IF(livegame!$T$20,B1000,A1000))</f>
        <v/>
      </c>
    </row>
    <row r="1001" spans="1:2">
      <c r="A1001" t="str">
        <f>IF(livegame!$V$21,"",IF(A1001&lt;&gt;"",A1001,IF(AND(livegame!$T$20,livegame!$U$20&lt;&gt;"",B1001="",B1000&lt;&gt;""),livegame!$U$20,"")))</f>
        <v/>
      </c>
      <c r="B1001" t="str">
        <f>IF(livegame!$V$21,"",IF(livegame!$T$20,B1001,A1001))</f>
        <v/>
      </c>
    </row>
    <row r="1002" spans="1:2">
      <c r="A1002" t="str">
        <f>IF(livegame!$V$21,"",IF(A1002&lt;&gt;"",A1002,IF(AND(livegame!$T$20,livegame!$U$20&lt;&gt;"",B1002="",B1001&lt;&gt;""),livegame!$U$20,"")))</f>
        <v/>
      </c>
      <c r="B1002" t="str">
        <f>IF(livegame!$V$21,"",IF(livegame!$T$20,B1002,A1002))</f>
        <v/>
      </c>
    </row>
    <row r="1003" spans="1:2">
      <c r="A1003" t="str">
        <f>IF(livegame!$V$21,"",IF(A1003&lt;&gt;"",A1003,IF(AND(livegame!$T$20,livegame!$U$20&lt;&gt;"",B1003="",B1002&lt;&gt;""),livegame!$U$20,"")))</f>
        <v/>
      </c>
      <c r="B1003" t="str">
        <f>IF(livegame!$V$21,"",IF(livegame!$T$20,B1003,A1003))</f>
        <v/>
      </c>
    </row>
    <row r="1004" spans="1:2">
      <c r="A1004" t="str">
        <f>IF(livegame!$V$21,"",IF(A1004&lt;&gt;"",A1004,IF(AND(livegame!$T$20,livegame!$U$20&lt;&gt;"",B1004="",B1003&lt;&gt;""),livegame!$U$20,"")))</f>
        <v/>
      </c>
      <c r="B1004" t="str">
        <f>IF(livegame!$V$21,"",IF(livegame!$T$20,B1004,A1004))</f>
        <v/>
      </c>
    </row>
    <row r="1005" spans="1:2">
      <c r="A1005" t="str">
        <f>IF(livegame!$V$21,"",IF(A1005&lt;&gt;"",A1005,IF(AND(livegame!$T$20,livegame!$U$20&lt;&gt;"",B1005="",B1004&lt;&gt;""),livegame!$U$20,"")))</f>
        <v/>
      </c>
      <c r="B1005" t="str">
        <f>IF(livegame!$V$21,"",IF(livegame!$T$20,B1005,A1005))</f>
        <v/>
      </c>
    </row>
    <row r="1006" spans="1:2">
      <c r="A1006" t="str">
        <f>IF(livegame!$V$21,"",IF(A1006&lt;&gt;"",A1006,IF(AND(livegame!$T$20,livegame!$U$20&lt;&gt;"",B1006="",B1005&lt;&gt;""),livegame!$U$20,"")))</f>
        <v/>
      </c>
      <c r="B1006" t="str">
        <f>IF(livegame!$V$21,"",IF(livegame!$T$20,B1006,A1006))</f>
        <v/>
      </c>
    </row>
    <row r="1007" spans="1:2">
      <c r="A1007" t="str">
        <f>IF(livegame!$V$21,"",IF(A1007&lt;&gt;"",A1007,IF(AND(livegame!$T$20,livegame!$U$20&lt;&gt;"",B1007="",B1006&lt;&gt;""),livegame!$U$20,"")))</f>
        <v/>
      </c>
      <c r="B1007" t="str">
        <f>IF(livegame!$V$21,"",IF(livegame!$T$20,B1007,A1007))</f>
        <v/>
      </c>
    </row>
    <row r="1008" spans="1:2">
      <c r="A1008" t="str">
        <f>IF(livegame!$V$21,"",IF(A1008&lt;&gt;"",A1008,IF(AND(livegame!$T$20,livegame!$U$20&lt;&gt;"",B1008="",B1007&lt;&gt;""),livegame!$U$20,"")))</f>
        <v/>
      </c>
      <c r="B1008" t="str">
        <f>IF(livegame!$V$21,"",IF(livegame!$T$20,B1008,A1008))</f>
        <v/>
      </c>
    </row>
    <row r="1009" spans="1:2">
      <c r="A1009" t="str">
        <f>IF(livegame!$V$21,"",IF(A1009&lt;&gt;"",A1009,IF(AND(livegame!$T$20,livegame!$U$20&lt;&gt;"",B1009="",B1008&lt;&gt;""),livegame!$U$20,"")))</f>
        <v/>
      </c>
      <c r="B1009" t="str">
        <f>IF(livegame!$V$21,"",IF(livegame!$T$20,B1009,A1009))</f>
        <v/>
      </c>
    </row>
    <row r="1010" spans="1:2">
      <c r="A1010" t="str">
        <f>IF(livegame!$V$21,"",IF(A1010&lt;&gt;"",A1010,IF(AND(livegame!$T$20,livegame!$U$20&lt;&gt;"",B1010="",B1009&lt;&gt;""),livegame!$U$20,"")))</f>
        <v/>
      </c>
      <c r="B1010" t="str">
        <f>IF(livegame!$V$21,"",IF(livegame!$T$20,B1010,A1010))</f>
        <v/>
      </c>
    </row>
    <row r="1011" spans="1:2">
      <c r="A1011" t="str">
        <f>IF(livegame!$V$21,"",IF(A1011&lt;&gt;"",A1011,IF(AND(livegame!$T$20,livegame!$U$20&lt;&gt;"",B1011="",B1010&lt;&gt;""),livegame!$U$20,"")))</f>
        <v/>
      </c>
      <c r="B1011" t="str">
        <f>IF(livegame!$V$21,"",IF(livegame!$T$20,B1011,A1011))</f>
        <v/>
      </c>
    </row>
    <row r="1012" spans="1:2">
      <c r="A1012" t="str">
        <f>IF(livegame!$V$21,"",IF(A1012&lt;&gt;"",A1012,IF(AND(livegame!$T$20,livegame!$U$20&lt;&gt;"",B1012="",B1011&lt;&gt;""),livegame!$U$20,"")))</f>
        <v/>
      </c>
      <c r="B1012" t="str">
        <f>IF(livegame!$V$21,"",IF(livegame!$T$20,B1012,A1012))</f>
        <v/>
      </c>
    </row>
    <row r="1013" spans="1:2">
      <c r="A1013" t="str">
        <f>IF(livegame!$V$21,"",IF(A1013&lt;&gt;"",A1013,IF(AND(livegame!$T$20,livegame!$U$20&lt;&gt;"",B1013="",B1012&lt;&gt;""),livegame!$U$20,"")))</f>
        <v/>
      </c>
      <c r="B1013" t="str">
        <f>IF(livegame!$V$21,"",IF(livegame!$T$20,B1013,A1013))</f>
        <v/>
      </c>
    </row>
    <row r="1014" spans="1:2">
      <c r="A1014" t="str">
        <f>IF(livegame!$V$21,"",IF(A1014&lt;&gt;"",A1014,IF(AND(livegame!$T$20,livegame!$U$20&lt;&gt;"",B1014="",B1013&lt;&gt;""),livegame!$U$20,"")))</f>
        <v/>
      </c>
      <c r="B1014" t="str">
        <f>IF(livegame!$V$21,"",IF(livegame!$T$20,B1014,A1014))</f>
        <v/>
      </c>
    </row>
    <row r="1015" spans="1:2">
      <c r="A1015" t="str">
        <f>IF(livegame!$V$21,"",IF(A1015&lt;&gt;"",A1015,IF(AND(livegame!$T$20,livegame!$U$20&lt;&gt;"",B1015="",B1014&lt;&gt;""),livegame!$U$20,"")))</f>
        <v/>
      </c>
      <c r="B1015" t="str">
        <f>IF(livegame!$V$21,"",IF(livegame!$T$20,B1015,A1015))</f>
        <v/>
      </c>
    </row>
    <row r="1016" spans="1:2">
      <c r="A1016" t="str">
        <f>IF(livegame!$V$21,"",IF(A1016&lt;&gt;"",A1016,IF(AND(livegame!$T$20,livegame!$U$20&lt;&gt;"",B1016="",B1015&lt;&gt;""),livegame!$U$20,"")))</f>
        <v/>
      </c>
      <c r="B1016" t="str">
        <f>IF(livegame!$V$21,"",IF(livegame!$T$20,B1016,A1016))</f>
        <v/>
      </c>
    </row>
    <row r="1017" spans="1:2">
      <c r="A1017" t="str">
        <f>IF(livegame!$V$21,"",IF(A1017&lt;&gt;"",A1017,IF(AND(livegame!$T$20,livegame!$U$20&lt;&gt;"",B1017="",B1016&lt;&gt;""),livegame!$U$20,"")))</f>
        <v/>
      </c>
      <c r="B1017" t="str">
        <f>IF(livegame!$V$21,"",IF(livegame!$T$20,B1017,A1017))</f>
        <v/>
      </c>
    </row>
    <row r="1018" spans="1:2">
      <c r="A1018" t="str">
        <f>IF(livegame!$V$21,"",IF(A1018&lt;&gt;"",A1018,IF(AND(livegame!$T$20,livegame!$U$20&lt;&gt;"",B1018="",B1017&lt;&gt;""),livegame!$U$20,"")))</f>
        <v/>
      </c>
      <c r="B1018" t="str">
        <f>IF(livegame!$V$21,"",IF(livegame!$T$20,B1018,A1018))</f>
        <v/>
      </c>
    </row>
    <row r="1019" spans="1:2">
      <c r="A1019" t="str">
        <f>IF(livegame!$V$21,"",IF(A1019&lt;&gt;"",A1019,IF(AND(livegame!$T$20,livegame!$U$20&lt;&gt;"",B1019="",B1018&lt;&gt;""),livegame!$U$20,"")))</f>
        <v/>
      </c>
      <c r="B1019" t="str">
        <f>IF(livegame!$V$21,"",IF(livegame!$T$20,B1019,A1019))</f>
        <v/>
      </c>
    </row>
    <row r="1020" spans="1:2">
      <c r="A1020" t="str">
        <f>IF(livegame!$V$21,"",IF(A1020&lt;&gt;"",A1020,IF(AND(livegame!$T$20,livegame!$U$20&lt;&gt;"",B1020="",B1019&lt;&gt;""),livegame!$U$20,"")))</f>
        <v/>
      </c>
      <c r="B1020" t="str">
        <f>IF(livegame!$V$21,"",IF(livegame!$T$20,B1020,A1020))</f>
        <v/>
      </c>
    </row>
    <row r="1021" spans="1:2">
      <c r="A1021" t="str">
        <f>IF(livegame!$V$21,"",IF(A1021&lt;&gt;"",A1021,IF(AND(livegame!$T$20,livegame!$U$20&lt;&gt;"",B1021="",B1020&lt;&gt;""),livegame!$U$20,"")))</f>
        <v/>
      </c>
      <c r="B1021" t="str">
        <f>IF(livegame!$V$21,"",IF(livegame!$T$20,B1021,A1021))</f>
        <v/>
      </c>
    </row>
    <row r="1022" spans="1:2">
      <c r="A1022" t="str">
        <f>IF(livegame!$V$21,"",IF(A1022&lt;&gt;"",A1022,IF(AND(livegame!$T$20,livegame!$U$20&lt;&gt;"",B1022="",B1021&lt;&gt;""),livegame!$U$20,"")))</f>
        <v/>
      </c>
      <c r="B1022" t="str">
        <f>IF(livegame!$V$21,"",IF(livegame!$T$20,B1022,A1022))</f>
        <v/>
      </c>
    </row>
    <row r="1023" spans="1:2">
      <c r="A1023" t="str">
        <f>IF(livegame!$V$21,"",IF(A1023&lt;&gt;"",A1023,IF(AND(livegame!$T$20,livegame!$U$20&lt;&gt;"",B1023="",B1022&lt;&gt;""),livegame!$U$20,"")))</f>
        <v/>
      </c>
      <c r="B1023" t="str">
        <f>IF(livegame!$V$21,"",IF(livegame!$T$20,B1023,A1023))</f>
        <v/>
      </c>
    </row>
    <row r="1024" spans="1:2">
      <c r="A1024" t="str">
        <f>IF(livegame!$V$21,"",IF(A1024&lt;&gt;"",A1024,IF(AND(livegame!$T$20,livegame!$U$20&lt;&gt;"",B1024="",B1023&lt;&gt;""),livegame!$U$20,"")))</f>
        <v/>
      </c>
      <c r="B1024" t="str">
        <f>IF(livegame!$V$21,"",IF(livegame!$T$20,B1024,A1024))</f>
        <v/>
      </c>
    </row>
    <row r="1025" spans="1:2">
      <c r="A1025" t="str">
        <f>IF(livegame!$V$21,"",IF(A1025&lt;&gt;"",A1025,IF(AND(livegame!$T$20,livegame!$U$20&lt;&gt;"",B1025="",B1024&lt;&gt;""),livegame!$U$20,"")))</f>
        <v/>
      </c>
      <c r="B1025" t="str">
        <f>IF(livegame!$V$21,"",IF(livegame!$T$20,B1025,A1025))</f>
        <v/>
      </c>
    </row>
    <row r="1026" spans="1:2">
      <c r="A1026" t="str">
        <f>IF(livegame!$V$21,"",IF(A1026&lt;&gt;"",A1026,IF(AND(livegame!$T$20,livegame!$U$20&lt;&gt;"",B1026="",B1025&lt;&gt;""),livegame!$U$20,"")))</f>
        <v/>
      </c>
      <c r="B1026" t="str">
        <f>IF(livegame!$V$21,"",IF(livegame!$T$20,B1026,A1026))</f>
        <v/>
      </c>
    </row>
    <row r="1027" spans="1:2">
      <c r="A1027" t="str">
        <f>IF(livegame!$V$21,"",IF(A1027&lt;&gt;"",A1027,IF(AND(livegame!$T$20,livegame!$U$20&lt;&gt;"",B1027="",B1026&lt;&gt;""),livegame!$U$20,"")))</f>
        <v/>
      </c>
      <c r="B1027" t="str">
        <f>IF(livegame!$V$21,"",IF(livegame!$T$20,B1027,A1027))</f>
        <v/>
      </c>
    </row>
    <row r="1028" spans="1:2">
      <c r="A1028" t="str">
        <f>IF(livegame!$V$21,"",IF(A1028&lt;&gt;"",A1028,IF(AND(livegame!$T$20,livegame!$U$20&lt;&gt;"",B1028="",B1027&lt;&gt;""),livegame!$U$20,"")))</f>
        <v/>
      </c>
      <c r="B1028" t="str">
        <f>IF(livegame!$V$21,"",IF(livegame!$T$20,B1028,A1028))</f>
        <v/>
      </c>
    </row>
    <row r="1029" spans="1:2">
      <c r="A1029" t="str">
        <f>IF(livegame!$V$21,"",IF(A1029&lt;&gt;"",A1029,IF(AND(livegame!$T$20,livegame!$U$20&lt;&gt;"",B1029="",B1028&lt;&gt;""),livegame!$U$20,"")))</f>
        <v/>
      </c>
      <c r="B1029" t="str">
        <f>IF(livegame!$V$21,"",IF(livegame!$T$20,B1029,A1029))</f>
        <v/>
      </c>
    </row>
    <row r="1030" spans="1:2">
      <c r="A1030" t="str">
        <f>IF(livegame!$V$21,"",IF(A1030&lt;&gt;"",A1030,IF(AND(livegame!$T$20,livegame!$U$20&lt;&gt;"",B1030="",B1029&lt;&gt;""),livegame!$U$20,"")))</f>
        <v/>
      </c>
      <c r="B1030" t="str">
        <f>IF(livegame!$V$21,"",IF(livegame!$T$20,B1030,A1030))</f>
        <v/>
      </c>
    </row>
    <row r="1031" spans="1:2">
      <c r="A1031" t="str">
        <f>IF(livegame!$V$21,"",IF(A1031&lt;&gt;"",A1031,IF(AND(livegame!$T$20,livegame!$U$20&lt;&gt;"",B1031="",B1030&lt;&gt;""),livegame!$U$20,"")))</f>
        <v/>
      </c>
      <c r="B1031" t="str">
        <f>IF(livegame!$V$21,"",IF(livegame!$T$20,B1031,A1031))</f>
        <v/>
      </c>
    </row>
    <row r="1032" spans="1:2">
      <c r="A1032" t="str">
        <f>IF(livegame!$V$21,"",IF(A1032&lt;&gt;"",A1032,IF(AND(livegame!$T$20,livegame!$U$20&lt;&gt;"",B1032="",B1031&lt;&gt;""),livegame!$U$20,"")))</f>
        <v/>
      </c>
      <c r="B1032" t="str">
        <f>IF(livegame!$V$21,"",IF(livegame!$T$20,B1032,A1032))</f>
        <v/>
      </c>
    </row>
    <row r="1033" spans="1:2">
      <c r="A1033" t="str">
        <f>IF(livegame!$V$21,"",IF(A1033&lt;&gt;"",A1033,IF(AND(livegame!$T$20,livegame!$U$20&lt;&gt;"",B1033="",B1032&lt;&gt;""),livegame!$U$20,"")))</f>
        <v/>
      </c>
      <c r="B1033" t="str">
        <f>IF(livegame!$V$21,"",IF(livegame!$T$20,B1033,A1033))</f>
        <v/>
      </c>
    </row>
    <row r="1034" spans="1:2">
      <c r="A1034" t="str">
        <f>IF(livegame!$V$21,"",IF(A1034&lt;&gt;"",A1034,IF(AND(livegame!$T$20,livegame!$U$20&lt;&gt;"",B1034="",B1033&lt;&gt;""),livegame!$U$20,"")))</f>
        <v/>
      </c>
      <c r="B1034" t="str">
        <f>IF(livegame!$V$21,"",IF(livegame!$T$20,B1034,A1034))</f>
        <v/>
      </c>
    </row>
    <row r="1035" spans="1:2">
      <c r="A1035" t="str">
        <f>IF(livegame!$V$21,"",IF(A1035&lt;&gt;"",A1035,IF(AND(livegame!$T$20,livegame!$U$20&lt;&gt;"",B1035="",B1034&lt;&gt;""),livegame!$U$20,"")))</f>
        <v/>
      </c>
      <c r="B1035" t="str">
        <f>IF(livegame!$V$21,"",IF(livegame!$T$20,B1035,A1035))</f>
        <v/>
      </c>
    </row>
    <row r="1036" spans="1:2">
      <c r="A1036" t="str">
        <f>IF(livegame!$V$21,"",IF(A1036&lt;&gt;"",A1036,IF(AND(livegame!$T$20,livegame!$U$20&lt;&gt;"",B1036="",B1035&lt;&gt;""),livegame!$U$20,"")))</f>
        <v/>
      </c>
      <c r="B1036" t="str">
        <f>IF(livegame!$V$21,"",IF(livegame!$T$20,B1036,A1036))</f>
        <v/>
      </c>
    </row>
    <row r="1037" spans="1:2">
      <c r="A1037" t="str">
        <f>IF(livegame!$V$21,"",IF(A1037&lt;&gt;"",A1037,IF(AND(livegame!$T$20,livegame!$U$20&lt;&gt;"",B1037="",B1036&lt;&gt;""),livegame!$U$20,"")))</f>
        <v/>
      </c>
      <c r="B1037" t="str">
        <f>IF(livegame!$V$21,"",IF(livegame!$T$20,B1037,A1037))</f>
        <v/>
      </c>
    </row>
    <row r="1038" spans="1:2">
      <c r="A1038" t="str">
        <f>IF(livegame!$V$21,"",IF(A1038&lt;&gt;"",A1038,IF(AND(livegame!$T$20,livegame!$U$20&lt;&gt;"",B1038="",B1037&lt;&gt;""),livegame!$U$20,"")))</f>
        <v/>
      </c>
      <c r="B1038" t="str">
        <f>IF(livegame!$V$21,"",IF(livegame!$T$20,B1038,A1038))</f>
        <v/>
      </c>
    </row>
    <row r="1039" spans="1:2">
      <c r="A1039" t="str">
        <f>IF(livegame!$V$21,"",IF(A1039&lt;&gt;"",A1039,IF(AND(livegame!$T$20,livegame!$U$20&lt;&gt;"",B1039="",B1038&lt;&gt;""),livegame!$U$20,"")))</f>
        <v/>
      </c>
      <c r="B1039" t="str">
        <f>IF(livegame!$V$21,"",IF(livegame!$T$20,B1039,A1039))</f>
        <v/>
      </c>
    </row>
    <row r="1040" spans="1:2">
      <c r="A1040" t="str">
        <f>IF(livegame!$V$21,"",IF(A1040&lt;&gt;"",A1040,IF(AND(livegame!$T$20,livegame!$U$20&lt;&gt;"",B1040="",B1039&lt;&gt;""),livegame!$U$20,"")))</f>
        <v/>
      </c>
      <c r="B1040" t="str">
        <f>IF(livegame!$V$21,"",IF(livegame!$T$20,B1040,A1040))</f>
        <v/>
      </c>
    </row>
    <row r="1041" spans="1:2">
      <c r="A1041" t="str">
        <f>IF(livegame!$V$21,"",IF(A1041&lt;&gt;"",A1041,IF(AND(livegame!$T$20,livegame!$U$20&lt;&gt;"",B1041="",B1040&lt;&gt;""),livegame!$U$20,"")))</f>
        <v/>
      </c>
      <c r="B1041" t="str">
        <f>IF(livegame!$V$21,"",IF(livegame!$T$20,B1041,A1041))</f>
        <v/>
      </c>
    </row>
    <row r="1042" spans="1:2">
      <c r="A1042" t="str">
        <f>IF(livegame!$V$21,"",IF(A1042&lt;&gt;"",A1042,IF(AND(livegame!$T$20,livegame!$U$20&lt;&gt;"",B1042="",B1041&lt;&gt;""),livegame!$U$20,"")))</f>
        <v/>
      </c>
      <c r="B1042" t="str">
        <f>IF(livegame!$V$21,"",IF(livegame!$T$20,B1042,A1042))</f>
        <v/>
      </c>
    </row>
    <row r="1043" spans="1:2">
      <c r="A1043" t="str">
        <f>IF(livegame!$V$21,"",IF(A1043&lt;&gt;"",A1043,IF(AND(livegame!$T$20,livegame!$U$20&lt;&gt;"",B1043="",B1042&lt;&gt;""),livegame!$U$20,"")))</f>
        <v/>
      </c>
      <c r="B1043" t="str">
        <f>IF(livegame!$V$21,"",IF(livegame!$T$20,B1043,A1043))</f>
        <v/>
      </c>
    </row>
    <row r="1044" spans="1:2">
      <c r="A1044" t="str">
        <f>IF(livegame!$V$21,"",IF(A1044&lt;&gt;"",A1044,IF(AND(livegame!$T$20,livegame!$U$20&lt;&gt;"",B1044="",B1043&lt;&gt;""),livegame!$U$20,"")))</f>
        <v/>
      </c>
      <c r="B1044" t="str">
        <f>IF(livegame!$V$21,"",IF(livegame!$T$20,B1044,A1044))</f>
        <v/>
      </c>
    </row>
    <row r="1045" spans="1:2">
      <c r="A1045" t="str">
        <f>IF(livegame!$V$21,"",IF(A1045&lt;&gt;"",A1045,IF(AND(livegame!$T$20,livegame!$U$20&lt;&gt;"",B1045="",B1044&lt;&gt;""),livegame!$U$20,"")))</f>
        <v/>
      </c>
      <c r="B1045" t="str">
        <f>IF(livegame!$V$21,"",IF(livegame!$T$20,B1045,A1045))</f>
        <v/>
      </c>
    </row>
    <row r="1046" spans="1:2">
      <c r="A1046" t="str">
        <f>IF(livegame!$V$21,"",IF(A1046&lt;&gt;"",A1046,IF(AND(livegame!$T$20,livegame!$U$20&lt;&gt;"",B1046="",B1045&lt;&gt;""),livegame!$U$20,"")))</f>
        <v/>
      </c>
      <c r="B1046" t="str">
        <f>IF(livegame!$V$21,"",IF(livegame!$T$20,B1046,A1046))</f>
        <v/>
      </c>
    </row>
    <row r="1047" spans="1:2">
      <c r="A1047" t="str">
        <f>IF(livegame!$V$21,"",IF(A1047&lt;&gt;"",A1047,IF(AND(livegame!$T$20,livegame!$U$20&lt;&gt;"",B1047="",B1046&lt;&gt;""),livegame!$U$20,"")))</f>
        <v/>
      </c>
      <c r="B1047" t="str">
        <f>IF(livegame!$V$21,"",IF(livegame!$T$20,B1047,A1047))</f>
        <v/>
      </c>
    </row>
    <row r="1048" spans="1:2">
      <c r="A1048" t="str">
        <f>IF(livegame!$V$21,"",IF(A1048&lt;&gt;"",A1048,IF(AND(livegame!$T$20,livegame!$U$20&lt;&gt;"",B1048="",B1047&lt;&gt;""),livegame!$U$20,"")))</f>
        <v/>
      </c>
      <c r="B1048" t="str">
        <f>IF(livegame!$V$21,"",IF(livegame!$T$20,B1048,A1048))</f>
        <v/>
      </c>
    </row>
    <row r="1049" spans="1:2">
      <c r="A1049" t="str">
        <f>IF(livegame!$V$21,"",IF(A1049&lt;&gt;"",A1049,IF(AND(livegame!$T$20,livegame!$U$20&lt;&gt;"",B1049="",B1048&lt;&gt;""),livegame!$U$20,"")))</f>
        <v/>
      </c>
      <c r="B1049" t="str">
        <f>IF(livegame!$V$21,"",IF(livegame!$T$20,B1049,A1049))</f>
        <v/>
      </c>
    </row>
    <row r="1050" spans="1:2">
      <c r="A1050" t="str">
        <f>IF(livegame!$V$21,"",IF(A1050&lt;&gt;"",A1050,IF(AND(livegame!$T$20,livegame!$U$20&lt;&gt;"",B1050="",B1049&lt;&gt;""),livegame!$U$20,"")))</f>
        <v/>
      </c>
      <c r="B1050" t="str">
        <f>IF(livegame!$V$21,"",IF(livegame!$T$20,B1050,A1050))</f>
        <v/>
      </c>
    </row>
    <row r="1051" spans="1:2">
      <c r="A1051" t="str">
        <f>IF(livegame!$V$21,"",IF(A1051&lt;&gt;"",A1051,IF(AND(livegame!$T$20,livegame!$U$20&lt;&gt;"",B1051="",B1050&lt;&gt;""),livegame!$U$20,"")))</f>
        <v/>
      </c>
      <c r="B1051" t="str">
        <f>IF(livegame!$V$21,"",IF(livegame!$T$20,B1051,A1051))</f>
        <v/>
      </c>
    </row>
    <row r="1052" spans="1:2">
      <c r="A1052" t="str">
        <f>IF(livegame!$V$21,"",IF(A1052&lt;&gt;"",A1052,IF(AND(livegame!$T$20,livegame!$U$20&lt;&gt;"",B1052="",B1051&lt;&gt;""),livegame!$U$20,"")))</f>
        <v/>
      </c>
      <c r="B1052" t="str">
        <f>IF(livegame!$V$21,"",IF(livegame!$T$20,B1052,A1052))</f>
        <v/>
      </c>
    </row>
    <row r="1053" spans="1:2">
      <c r="A1053" t="str">
        <f>IF(livegame!$V$21,"",IF(A1053&lt;&gt;"",A1053,IF(AND(livegame!$T$20,livegame!$U$20&lt;&gt;"",B1053="",B1052&lt;&gt;""),livegame!$U$20,"")))</f>
        <v/>
      </c>
      <c r="B1053" t="str">
        <f>IF(livegame!$V$21,"",IF(livegame!$T$20,B1053,A1053))</f>
        <v/>
      </c>
    </row>
    <row r="1054" spans="1:2">
      <c r="A1054" t="str">
        <f>IF(livegame!$V$21,"",IF(A1054&lt;&gt;"",A1054,IF(AND(livegame!$T$20,livegame!$U$20&lt;&gt;"",B1054="",B1053&lt;&gt;""),livegame!$U$20,"")))</f>
        <v/>
      </c>
      <c r="B1054" t="str">
        <f>IF(livegame!$V$21,"",IF(livegame!$T$20,B1054,A1054))</f>
        <v/>
      </c>
    </row>
    <row r="1055" spans="1:2">
      <c r="A1055" t="str">
        <f>IF(livegame!$V$21,"",IF(A1055&lt;&gt;"",A1055,IF(AND(livegame!$T$20,livegame!$U$20&lt;&gt;"",B1055="",B1054&lt;&gt;""),livegame!$U$20,"")))</f>
        <v/>
      </c>
      <c r="B1055" t="str">
        <f>IF(livegame!$V$21,"",IF(livegame!$T$20,B1055,A1055))</f>
        <v/>
      </c>
    </row>
    <row r="1056" spans="1:2">
      <c r="A1056" t="str">
        <f>IF(livegame!$V$21,"",IF(A1056&lt;&gt;"",A1056,IF(AND(livegame!$T$20,livegame!$U$20&lt;&gt;"",B1056="",B1055&lt;&gt;""),livegame!$U$20,"")))</f>
        <v/>
      </c>
      <c r="B1056" t="str">
        <f>IF(livegame!$V$21,"",IF(livegame!$T$20,B1056,A1056))</f>
        <v/>
      </c>
    </row>
    <row r="1057" spans="1:2">
      <c r="A1057" t="str">
        <f>IF(livegame!$V$21,"",IF(A1057&lt;&gt;"",A1057,IF(AND(livegame!$T$20,livegame!$U$20&lt;&gt;"",B1057="",B1056&lt;&gt;""),livegame!$U$20,"")))</f>
        <v/>
      </c>
      <c r="B1057" t="str">
        <f>IF(livegame!$V$21,"",IF(livegame!$T$20,B1057,A1057))</f>
        <v/>
      </c>
    </row>
    <row r="1058" spans="1:2">
      <c r="A1058" t="str">
        <f>IF(livegame!$V$21,"",IF(A1058&lt;&gt;"",A1058,IF(AND(livegame!$T$20,livegame!$U$20&lt;&gt;"",B1058="",B1057&lt;&gt;""),livegame!$U$20,"")))</f>
        <v/>
      </c>
      <c r="B1058" t="str">
        <f>IF(livegame!$V$21,"",IF(livegame!$T$20,B1058,A1058))</f>
        <v/>
      </c>
    </row>
    <row r="1059" spans="1:2">
      <c r="A1059" t="str">
        <f>IF(livegame!$V$21,"",IF(A1059&lt;&gt;"",A1059,IF(AND(livegame!$T$20,livegame!$U$20&lt;&gt;"",B1059="",B1058&lt;&gt;""),livegame!$U$20,"")))</f>
        <v/>
      </c>
      <c r="B1059" t="str">
        <f>IF(livegame!$V$21,"",IF(livegame!$T$20,B1059,A1059))</f>
        <v/>
      </c>
    </row>
    <row r="1060" spans="1:2">
      <c r="A1060" t="str">
        <f>IF(livegame!$V$21,"",IF(A1060&lt;&gt;"",A1060,IF(AND(livegame!$T$20,livegame!$U$20&lt;&gt;"",B1060="",B1059&lt;&gt;""),livegame!$U$20,"")))</f>
        <v/>
      </c>
      <c r="B1060" t="str">
        <f>IF(livegame!$V$21,"",IF(livegame!$T$20,B1060,A1060))</f>
        <v/>
      </c>
    </row>
    <row r="1061" spans="1:2">
      <c r="A1061" t="str">
        <f>IF(livegame!$V$21,"",IF(A1061&lt;&gt;"",A1061,IF(AND(livegame!$T$20,livegame!$U$20&lt;&gt;"",B1061="",B1060&lt;&gt;""),livegame!$U$20,"")))</f>
        <v/>
      </c>
      <c r="B1061" t="str">
        <f>IF(livegame!$V$21,"",IF(livegame!$T$20,B1061,A1061))</f>
        <v/>
      </c>
    </row>
    <row r="1062" spans="1:2">
      <c r="A1062" t="str">
        <f>IF(livegame!$V$21,"",IF(A1062&lt;&gt;"",A1062,IF(AND(livegame!$T$20,livegame!$U$20&lt;&gt;"",B1062="",B1061&lt;&gt;""),livegame!$U$20,"")))</f>
        <v/>
      </c>
      <c r="B1062" t="str">
        <f>IF(livegame!$V$21,"",IF(livegame!$T$20,B1062,A1062))</f>
        <v/>
      </c>
    </row>
    <row r="1063" spans="1:2">
      <c r="A1063" t="str">
        <f>IF(livegame!$V$21,"",IF(A1063&lt;&gt;"",A1063,IF(AND(livegame!$T$20,livegame!$U$20&lt;&gt;"",B1063="",B1062&lt;&gt;""),livegame!$U$20,"")))</f>
        <v/>
      </c>
      <c r="B1063" t="str">
        <f>IF(livegame!$V$21,"",IF(livegame!$T$20,B1063,A1063))</f>
        <v/>
      </c>
    </row>
    <row r="1064" spans="1:2">
      <c r="A1064" t="str">
        <f>IF(livegame!$V$21,"",IF(A1064&lt;&gt;"",A1064,IF(AND(livegame!$T$20,livegame!$U$20&lt;&gt;"",B1064="",B1063&lt;&gt;""),livegame!$U$20,"")))</f>
        <v/>
      </c>
      <c r="B1064" t="str">
        <f>IF(livegame!$V$21,"",IF(livegame!$T$20,B1064,A1064))</f>
        <v/>
      </c>
    </row>
    <row r="1065" spans="1:2">
      <c r="A1065" t="str">
        <f>IF(livegame!$V$21,"",IF(A1065&lt;&gt;"",A1065,IF(AND(livegame!$T$20,livegame!$U$20&lt;&gt;"",B1065="",B1064&lt;&gt;""),livegame!$U$20,"")))</f>
        <v/>
      </c>
      <c r="B1065" t="str">
        <f>IF(livegame!$V$21,"",IF(livegame!$T$20,B1065,A1065))</f>
        <v/>
      </c>
    </row>
    <row r="1066" spans="1:2">
      <c r="A1066" t="str">
        <f>IF(livegame!$V$21,"",IF(A1066&lt;&gt;"",A1066,IF(AND(livegame!$T$20,livegame!$U$20&lt;&gt;"",B1066="",B1065&lt;&gt;""),livegame!$U$20,"")))</f>
        <v/>
      </c>
      <c r="B1066" t="str">
        <f>IF(livegame!$V$21,"",IF(livegame!$T$20,B1066,A1066))</f>
        <v/>
      </c>
    </row>
    <row r="1067" spans="1:2">
      <c r="A1067" t="str">
        <f>IF(livegame!$V$21,"",IF(A1067&lt;&gt;"",A1067,IF(AND(livegame!$T$20,livegame!$U$20&lt;&gt;"",B1067="",B1066&lt;&gt;""),livegame!$U$20,"")))</f>
        <v/>
      </c>
      <c r="B1067" t="str">
        <f>IF(livegame!$V$21,"",IF(livegame!$T$20,B1067,A1067))</f>
        <v/>
      </c>
    </row>
    <row r="1068" spans="1:2">
      <c r="A1068" t="str">
        <f>IF(livegame!$V$21,"",IF(A1068&lt;&gt;"",A1068,IF(AND(livegame!$T$20,livegame!$U$20&lt;&gt;"",B1068="",B1067&lt;&gt;""),livegame!$U$20,"")))</f>
        <v/>
      </c>
      <c r="B1068" t="str">
        <f>IF(livegame!$V$21,"",IF(livegame!$T$20,B1068,A1068))</f>
        <v/>
      </c>
    </row>
    <row r="1069" spans="1:2">
      <c r="A1069" t="str">
        <f>IF(livegame!$V$21,"",IF(A1069&lt;&gt;"",A1069,IF(AND(livegame!$T$20,livegame!$U$20&lt;&gt;"",B1069="",B1068&lt;&gt;""),livegame!$U$20,"")))</f>
        <v/>
      </c>
      <c r="B1069" t="str">
        <f>IF(livegame!$V$21,"",IF(livegame!$T$20,B1069,A1069))</f>
        <v/>
      </c>
    </row>
    <row r="1070" spans="1:2">
      <c r="A1070" t="str">
        <f>IF(livegame!$V$21,"",IF(A1070&lt;&gt;"",A1070,IF(AND(livegame!$T$20,livegame!$U$20&lt;&gt;"",B1070="",B1069&lt;&gt;""),livegame!$U$20,"")))</f>
        <v/>
      </c>
      <c r="B1070" t="str">
        <f>IF(livegame!$V$21,"",IF(livegame!$T$20,B1070,A1070))</f>
        <v/>
      </c>
    </row>
    <row r="1071" spans="1:2">
      <c r="A1071" t="str">
        <f>IF(livegame!$V$21,"",IF(A1071&lt;&gt;"",A1071,IF(AND(livegame!$T$20,livegame!$U$20&lt;&gt;"",B1071="",B1070&lt;&gt;""),livegame!$U$20,"")))</f>
        <v/>
      </c>
      <c r="B1071" t="str">
        <f>IF(livegame!$V$21,"",IF(livegame!$T$20,B1071,A1071))</f>
        <v/>
      </c>
    </row>
    <row r="1072" spans="1:2">
      <c r="A1072" t="str">
        <f>IF(livegame!$V$21,"",IF(A1072&lt;&gt;"",A1072,IF(AND(livegame!$T$20,livegame!$U$20&lt;&gt;"",B1072="",B1071&lt;&gt;""),livegame!$U$20,"")))</f>
        <v/>
      </c>
      <c r="B1072" t="str">
        <f>IF(livegame!$V$21,"",IF(livegame!$T$20,B1072,A1072))</f>
        <v/>
      </c>
    </row>
    <row r="1073" spans="1:2">
      <c r="A1073" t="str">
        <f>IF(livegame!$V$21,"",IF(A1073&lt;&gt;"",A1073,IF(AND(livegame!$T$20,livegame!$U$20&lt;&gt;"",B1073="",B1072&lt;&gt;""),livegame!$U$20,"")))</f>
        <v/>
      </c>
      <c r="B1073" t="str">
        <f>IF(livegame!$V$21,"",IF(livegame!$T$20,B1073,A1073))</f>
        <v/>
      </c>
    </row>
    <row r="1074" spans="1:2">
      <c r="A1074" t="str">
        <f>IF(livegame!$V$21,"",IF(A1074&lt;&gt;"",A1074,IF(AND(livegame!$T$20,livegame!$U$20&lt;&gt;"",B1074="",B1073&lt;&gt;""),livegame!$U$20,"")))</f>
        <v/>
      </c>
      <c r="B1074" t="str">
        <f>IF(livegame!$V$21,"",IF(livegame!$T$20,B1074,A1074))</f>
        <v/>
      </c>
    </row>
    <row r="1075" spans="1:2">
      <c r="A1075" t="str">
        <f>IF(livegame!$V$21,"",IF(A1075&lt;&gt;"",A1075,IF(AND(livegame!$T$20,livegame!$U$20&lt;&gt;"",B1075="",B1074&lt;&gt;""),livegame!$U$20,"")))</f>
        <v/>
      </c>
      <c r="B1075" t="str">
        <f>IF(livegame!$V$21,"",IF(livegame!$T$20,B1075,A1075))</f>
        <v/>
      </c>
    </row>
    <row r="1076" spans="1:2">
      <c r="A1076" t="str">
        <f>IF(livegame!$V$21,"",IF(A1076&lt;&gt;"",A1076,IF(AND(livegame!$T$20,livegame!$U$20&lt;&gt;"",B1076="",B1075&lt;&gt;""),livegame!$U$20,"")))</f>
        <v/>
      </c>
      <c r="B1076" t="str">
        <f>IF(livegame!$V$21,"",IF(livegame!$T$20,B1076,A1076))</f>
        <v/>
      </c>
    </row>
    <row r="1077" spans="1:2">
      <c r="A1077" t="str">
        <f>IF(livegame!$V$21,"",IF(A1077&lt;&gt;"",A1077,IF(AND(livegame!$T$20,livegame!$U$20&lt;&gt;"",B1077="",B1076&lt;&gt;""),livegame!$U$20,"")))</f>
        <v/>
      </c>
      <c r="B1077" t="str">
        <f>IF(livegame!$V$21,"",IF(livegame!$T$20,B1077,A1077))</f>
        <v/>
      </c>
    </row>
    <row r="1078" spans="1:2">
      <c r="A1078" t="str">
        <f>IF(livegame!$V$21,"",IF(A1078&lt;&gt;"",A1078,IF(AND(livegame!$T$20,livegame!$U$20&lt;&gt;"",B1078="",B1077&lt;&gt;""),livegame!$U$20,"")))</f>
        <v/>
      </c>
      <c r="B1078" t="str">
        <f>IF(livegame!$V$21,"",IF(livegame!$T$20,B1078,A1078))</f>
        <v/>
      </c>
    </row>
    <row r="1079" spans="1:2">
      <c r="A1079" t="str">
        <f>IF(livegame!$V$21,"",IF(A1079&lt;&gt;"",A1079,IF(AND(livegame!$T$20,livegame!$U$20&lt;&gt;"",B1079="",B1078&lt;&gt;""),livegame!$U$20,"")))</f>
        <v/>
      </c>
      <c r="B1079" t="str">
        <f>IF(livegame!$V$21,"",IF(livegame!$T$20,B1079,A1079))</f>
        <v/>
      </c>
    </row>
    <row r="1080" spans="1:2">
      <c r="A1080" t="str">
        <f>IF(livegame!$V$21,"",IF(A1080&lt;&gt;"",A1080,IF(AND(livegame!$T$20,livegame!$U$20&lt;&gt;"",B1080="",B1079&lt;&gt;""),livegame!$U$20,"")))</f>
        <v/>
      </c>
      <c r="B1080" t="str">
        <f>IF(livegame!$V$21,"",IF(livegame!$T$20,B1080,A1080))</f>
        <v/>
      </c>
    </row>
    <row r="1081" spans="1:2">
      <c r="A1081" t="str">
        <f>IF(livegame!$V$21,"",IF(A1081&lt;&gt;"",A1081,IF(AND(livegame!$T$20,livegame!$U$20&lt;&gt;"",B1081="",B1080&lt;&gt;""),livegame!$U$20,"")))</f>
        <v/>
      </c>
      <c r="B1081" t="str">
        <f>IF(livegame!$V$21,"",IF(livegame!$T$20,B1081,A1081))</f>
        <v/>
      </c>
    </row>
    <row r="1082" spans="1:2">
      <c r="A1082" t="str">
        <f>IF(livegame!$V$21,"",IF(A1082&lt;&gt;"",A1082,IF(AND(livegame!$T$20,livegame!$U$20&lt;&gt;"",B1082="",B1081&lt;&gt;""),livegame!$U$20,"")))</f>
        <v/>
      </c>
      <c r="B1082" t="str">
        <f>IF(livegame!$V$21,"",IF(livegame!$T$20,B1082,A1082))</f>
        <v/>
      </c>
    </row>
    <row r="1083" spans="1:2">
      <c r="A1083" t="str">
        <f>IF(livegame!$V$21,"",IF(A1083&lt;&gt;"",A1083,IF(AND(livegame!$T$20,livegame!$U$20&lt;&gt;"",B1083="",B1082&lt;&gt;""),livegame!$U$20,"")))</f>
        <v/>
      </c>
      <c r="B1083" t="str">
        <f>IF(livegame!$V$21,"",IF(livegame!$T$20,B1083,A1083))</f>
        <v/>
      </c>
    </row>
    <row r="1084" spans="1:2">
      <c r="A1084" t="str">
        <f>IF(livegame!$V$21,"",IF(A1084&lt;&gt;"",A1084,IF(AND(livegame!$T$20,livegame!$U$20&lt;&gt;"",B1084="",B1083&lt;&gt;""),livegame!$U$20,"")))</f>
        <v/>
      </c>
      <c r="B1084" t="str">
        <f>IF(livegame!$V$21,"",IF(livegame!$T$20,B1084,A1084))</f>
        <v/>
      </c>
    </row>
    <row r="1085" spans="1:2">
      <c r="A1085" t="str">
        <f>IF(livegame!$V$21,"",IF(A1085&lt;&gt;"",A1085,IF(AND(livegame!$T$20,livegame!$U$20&lt;&gt;"",B1085="",B1084&lt;&gt;""),livegame!$U$20,"")))</f>
        <v/>
      </c>
      <c r="B1085" t="str">
        <f>IF(livegame!$V$21,"",IF(livegame!$T$20,B1085,A1085))</f>
        <v/>
      </c>
    </row>
    <row r="1086" spans="1:2">
      <c r="A1086" t="str">
        <f>IF(livegame!$V$21,"",IF(A1086&lt;&gt;"",A1086,IF(AND(livegame!$T$20,livegame!$U$20&lt;&gt;"",B1086="",B1085&lt;&gt;""),livegame!$U$20,"")))</f>
        <v/>
      </c>
      <c r="B1086" t="str">
        <f>IF(livegame!$V$21,"",IF(livegame!$T$20,B1086,A1086))</f>
        <v/>
      </c>
    </row>
    <row r="1087" spans="1:2">
      <c r="A1087" t="str">
        <f>IF(livegame!$V$21,"",IF(A1087&lt;&gt;"",A1087,IF(AND(livegame!$T$20,livegame!$U$20&lt;&gt;"",B1087="",B1086&lt;&gt;""),livegame!$U$20,"")))</f>
        <v/>
      </c>
      <c r="B1087" t="str">
        <f>IF(livegame!$V$21,"",IF(livegame!$T$20,B1087,A1087))</f>
        <v/>
      </c>
    </row>
    <row r="1088" spans="1:2">
      <c r="A1088" t="str">
        <f>IF(livegame!$V$21,"",IF(A1088&lt;&gt;"",A1088,IF(AND(livegame!$T$20,livegame!$U$20&lt;&gt;"",B1088="",B1087&lt;&gt;""),livegame!$U$20,"")))</f>
        <v/>
      </c>
      <c r="B1088" t="str">
        <f>IF(livegame!$V$21,"",IF(livegame!$T$20,B1088,A1088))</f>
        <v/>
      </c>
    </row>
    <row r="1089" spans="1:2">
      <c r="A1089" t="str">
        <f>IF(livegame!$V$21,"",IF(A1089&lt;&gt;"",A1089,IF(AND(livegame!$T$20,livegame!$U$20&lt;&gt;"",B1089="",B1088&lt;&gt;""),livegame!$U$20,"")))</f>
        <v/>
      </c>
      <c r="B1089" t="str">
        <f>IF(livegame!$V$21,"",IF(livegame!$T$20,B1089,A1089))</f>
        <v/>
      </c>
    </row>
    <row r="1090" spans="1:2">
      <c r="A1090" t="str">
        <f>IF(livegame!$V$21,"",IF(A1090&lt;&gt;"",A1090,IF(AND(livegame!$T$20,livegame!$U$20&lt;&gt;"",B1090="",B1089&lt;&gt;""),livegame!$U$20,"")))</f>
        <v/>
      </c>
      <c r="B1090" t="str">
        <f>IF(livegame!$V$21,"",IF(livegame!$T$20,B1090,A1090))</f>
        <v/>
      </c>
    </row>
    <row r="1091" spans="1:2">
      <c r="A1091" t="str">
        <f>IF(livegame!$V$21,"",IF(A1091&lt;&gt;"",A1091,IF(AND(livegame!$T$20,livegame!$U$20&lt;&gt;"",B1091="",B1090&lt;&gt;""),livegame!$U$20,"")))</f>
        <v/>
      </c>
      <c r="B1091" t="str">
        <f>IF(livegame!$V$21,"",IF(livegame!$T$20,B1091,A1091))</f>
        <v/>
      </c>
    </row>
    <row r="1092" spans="1:2">
      <c r="A1092" t="str">
        <f>IF(livegame!$V$21,"",IF(A1092&lt;&gt;"",A1092,IF(AND(livegame!$T$20,livegame!$U$20&lt;&gt;"",B1092="",B1091&lt;&gt;""),livegame!$U$20,"")))</f>
        <v/>
      </c>
      <c r="B1092" t="str">
        <f>IF(livegame!$V$21,"",IF(livegame!$T$20,B1092,A1092))</f>
        <v/>
      </c>
    </row>
    <row r="1093" spans="1:2">
      <c r="A1093" t="str">
        <f>IF(livegame!$V$21,"",IF(A1093&lt;&gt;"",A1093,IF(AND(livegame!$T$20,livegame!$U$20&lt;&gt;"",B1093="",B1092&lt;&gt;""),livegame!$U$20,"")))</f>
        <v/>
      </c>
      <c r="B1093" t="str">
        <f>IF(livegame!$V$21,"",IF(livegame!$T$20,B1093,A1093))</f>
        <v/>
      </c>
    </row>
    <row r="1094" spans="1:2">
      <c r="A1094" t="str">
        <f>IF(livegame!$V$21,"",IF(A1094&lt;&gt;"",A1094,IF(AND(livegame!$T$20,livegame!$U$20&lt;&gt;"",B1094="",B1093&lt;&gt;""),livegame!$U$20,"")))</f>
        <v/>
      </c>
      <c r="B1094" t="str">
        <f>IF(livegame!$V$21,"",IF(livegame!$T$20,B1094,A1094))</f>
        <v/>
      </c>
    </row>
    <row r="1095" spans="1:2">
      <c r="A1095" t="str">
        <f>IF(livegame!$V$21,"",IF(A1095&lt;&gt;"",A1095,IF(AND(livegame!$T$20,livegame!$U$20&lt;&gt;"",B1095="",B1094&lt;&gt;""),livegame!$U$20,"")))</f>
        <v/>
      </c>
      <c r="B1095" t="str">
        <f>IF(livegame!$V$21,"",IF(livegame!$T$20,B1095,A1095))</f>
        <v/>
      </c>
    </row>
    <row r="1096" spans="1:2">
      <c r="A1096" t="str">
        <f>IF(livegame!$V$21,"",IF(A1096&lt;&gt;"",A1096,IF(AND(livegame!$T$20,livegame!$U$20&lt;&gt;"",B1096="",B1095&lt;&gt;""),livegame!$U$20,"")))</f>
        <v/>
      </c>
      <c r="B1096" t="str">
        <f>IF(livegame!$V$21,"",IF(livegame!$T$20,B1096,A1096))</f>
        <v/>
      </c>
    </row>
    <row r="1097" spans="1:2">
      <c r="A1097" t="str">
        <f>IF(livegame!$V$21,"",IF(A1097&lt;&gt;"",A1097,IF(AND(livegame!$T$20,livegame!$U$20&lt;&gt;"",B1097="",B1096&lt;&gt;""),livegame!$U$20,"")))</f>
        <v/>
      </c>
      <c r="B1097" t="str">
        <f>IF(livegame!$V$21,"",IF(livegame!$T$20,B1097,A1097))</f>
        <v/>
      </c>
    </row>
    <row r="1098" spans="1:2">
      <c r="A1098" t="str">
        <f>IF(livegame!$V$21,"",IF(A1098&lt;&gt;"",A1098,IF(AND(livegame!$T$20,livegame!$U$20&lt;&gt;"",B1098="",B1097&lt;&gt;""),livegame!$U$20,"")))</f>
        <v/>
      </c>
      <c r="B1098" t="str">
        <f>IF(livegame!$V$21,"",IF(livegame!$T$20,B1098,A1098))</f>
        <v/>
      </c>
    </row>
    <row r="1099" spans="1:2">
      <c r="A1099" t="str">
        <f>IF(livegame!$V$21,"",IF(A1099&lt;&gt;"",A1099,IF(AND(livegame!$T$20,livegame!$U$20&lt;&gt;"",B1099="",B1098&lt;&gt;""),livegame!$U$20,"")))</f>
        <v/>
      </c>
      <c r="B1099" t="str">
        <f>IF(livegame!$V$21,"",IF(livegame!$T$20,B1099,A1099))</f>
        <v/>
      </c>
    </row>
    <row r="1100" spans="1:2">
      <c r="A1100" t="str">
        <f>IF(livegame!$V$21,"",IF(A1100&lt;&gt;"",A1100,IF(AND(livegame!$T$20,livegame!$U$20&lt;&gt;"",B1100="",B1099&lt;&gt;""),livegame!$U$20,"")))</f>
        <v/>
      </c>
      <c r="B1100" t="str">
        <f>IF(livegame!$V$21,"",IF(livegame!$T$20,B1100,A1100))</f>
        <v/>
      </c>
    </row>
    <row r="1101" spans="1:2">
      <c r="A1101" t="str">
        <f>IF(livegame!$V$21,"",IF(A1101&lt;&gt;"",A1101,IF(AND(livegame!$T$20,livegame!$U$20&lt;&gt;"",B1101="",B1100&lt;&gt;""),livegame!$U$20,"")))</f>
        <v/>
      </c>
      <c r="B1101" t="str">
        <f>IF(livegame!$V$21,"",IF(livegame!$T$20,B1101,A1101))</f>
        <v/>
      </c>
    </row>
    <row r="1102" spans="1:2">
      <c r="A1102" t="str">
        <f>IF(livegame!$V$21,"",IF(A1102&lt;&gt;"",A1102,IF(AND(livegame!$T$20,livegame!$U$20&lt;&gt;"",B1102="",B1101&lt;&gt;""),livegame!$U$20,"")))</f>
        <v/>
      </c>
      <c r="B1102" t="str">
        <f>IF(livegame!$V$21,"",IF(livegame!$T$20,B1102,A1102))</f>
        <v/>
      </c>
    </row>
    <row r="1103" spans="1:2">
      <c r="A1103" t="str">
        <f>IF(livegame!$V$21,"",IF(A1103&lt;&gt;"",A1103,IF(AND(livegame!$T$20,livegame!$U$20&lt;&gt;"",B1103="",B1102&lt;&gt;""),livegame!$U$20,"")))</f>
        <v/>
      </c>
      <c r="B1103" t="str">
        <f>IF(livegame!$V$21,"",IF(livegame!$T$20,B1103,A1103))</f>
        <v/>
      </c>
    </row>
    <row r="1104" spans="1:2">
      <c r="A1104" t="str">
        <f>IF(livegame!$V$21,"",IF(A1104&lt;&gt;"",A1104,IF(AND(livegame!$T$20,livegame!$U$20&lt;&gt;"",B1104="",B1103&lt;&gt;""),livegame!$U$20,"")))</f>
        <v/>
      </c>
      <c r="B1104" t="str">
        <f>IF(livegame!$V$21,"",IF(livegame!$T$20,B1104,A1104))</f>
        <v/>
      </c>
    </row>
    <row r="1105" spans="1:2">
      <c r="A1105" t="str">
        <f>IF(livegame!$V$21,"",IF(A1105&lt;&gt;"",A1105,IF(AND(livegame!$T$20,livegame!$U$20&lt;&gt;"",B1105="",B1104&lt;&gt;""),livegame!$U$20,"")))</f>
        <v/>
      </c>
      <c r="B1105" t="str">
        <f>IF(livegame!$V$21,"",IF(livegame!$T$20,B1105,A1105))</f>
        <v/>
      </c>
    </row>
    <row r="1106" spans="1:2">
      <c r="A1106" t="str">
        <f>IF(livegame!$V$21,"",IF(A1106&lt;&gt;"",A1106,IF(AND(livegame!$T$20,livegame!$U$20&lt;&gt;"",B1106="",B1105&lt;&gt;""),livegame!$U$20,"")))</f>
        <v/>
      </c>
      <c r="B1106" t="str">
        <f>IF(livegame!$V$21,"",IF(livegame!$T$20,B1106,A1106))</f>
        <v/>
      </c>
    </row>
    <row r="1107" spans="1:2">
      <c r="A1107" t="str">
        <f>IF(livegame!$V$21,"",IF(A1107&lt;&gt;"",A1107,IF(AND(livegame!$T$20,livegame!$U$20&lt;&gt;"",B1107="",B1106&lt;&gt;""),livegame!$U$20,"")))</f>
        <v/>
      </c>
      <c r="B1107" t="str">
        <f>IF(livegame!$V$21,"",IF(livegame!$T$20,B1107,A1107))</f>
        <v/>
      </c>
    </row>
    <row r="1108" spans="1:2">
      <c r="A1108" t="str">
        <f>IF(livegame!$V$21,"",IF(A1108&lt;&gt;"",A1108,IF(AND(livegame!$T$20,livegame!$U$20&lt;&gt;"",B1108="",B1107&lt;&gt;""),livegame!$U$20,"")))</f>
        <v/>
      </c>
      <c r="B1108" t="str">
        <f>IF(livegame!$V$21,"",IF(livegame!$T$20,B1108,A1108))</f>
        <v/>
      </c>
    </row>
    <row r="1109" spans="1:2">
      <c r="A1109" t="str">
        <f>IF(livegame!$V$21,"",IF(A1109&lt;&gt;"",A1109,IF(AND(livegame!$T$20,livegame!$U$20&lt;&gt;"",B1109="",B1108&lt;&gt;""),livegame!$U$20,"")))</f>
        <v/>
      </c>
      <c r="B1109" t="str">
        <f>IF(livegame!$V$21,"",IF(livegame!$T$20,B1109,A1109))</f>
        <v/>
      </c>
    </row>
    <row r="1110" spans="1:2">
      <c r="A1110" t="str">
        <f>IF(livegame!$V$21,"",IF(A1110&lt;&gt;"",A1110,IF(AND(livegame!$T$20,livegame!$U$20&lt;&gt;"",B1110="",B1109&lt;&gt;""),livegame!$U$20,"")))</f>
        <v/>
      </c>
      <c r="B1110" t="str">
        <f>IF(livegame!$V$21,"",IF(livegame!$T$20,B1110,A1110))</f>
        <v/>
      </c>
    </row>
    <row r="1111" spans="1:2">
      <c r="A1111" t="str">
        <f>IF(livegame!$V$21,"",IF(A1111&lt;&gt;"",A1111,IF(AND(livegame!$T$20,livegame!$U$20&lt;&gt;"",B1111="",B1110&lt;&gt;""),livegame!$U$20,"")))</f>
        <v/>
      </c>
      <c r="B1111" t="str">
        <f>IF(livegame!$V$21,"",IF(livegame!$T$20,B1111,A1111))</f>
        <v/>
      </c>
    </row>
    <row r="1112" spans="1:2">
      <c r="A1112" t="str">
        <f>IF(livegame!$V$21,"",IF(A1112&lt;&gt;"",A1112,IF(AND(livegame!$T$20,livegame!$U$20&lt;&gt;"",B1112="",B1111&lt;&gt;""),livegame!$U$20,"")))</f>
        <v/>
      </c>
      <c r="B1112" t="str">
        <f>IF(livegame!$V$21,"",IF(livegame!$T$20,B1112,A1112))</f>
        <v/>
      </c>
    </row>
    <row r="1113" spans="1:2">
      <c r="A1113" t="str">
        <f>IF(livegame!$V$21,"",IF(A1113&lt;&gt;"",A1113,IF(AND(livegame!$T$20,livegame!$U$20&lt;&gt;"",B1113="",B1112&lt;&gt;""),livegame!$U$20,"")))</f>
        <v/>
      </c>
      <c r="B1113" t="str">
        <f>IF(livegame!$V$21,"",IF(livegame!$T$20,B1113,A1113))</f>
        <v/>
      </c>
    </row>
    <row r="1114" spans="1:2">
      <c r="A1114" t="str">
        <f>IF(livegame!$V$21,"",IF(A1114&lt;&gt;"",A1114,IF(AND(livegame!$T$20,livegame!$U$20&lt;&gt;"",B1114="",B1113&lt;&gt;""),livegame!$U$20,"")))</f>
        <v/>
      </c>
      <c r="B1114" t="str">
        <f>IF(livegame!$V$21,"",IF(livegame!$T$20,B1114,A1114))</f>
        <v/>
      </c>
    </row>
    <row r="1115" spans="1:2">
      <c r="A1115" t="str">
        <f>IF(livegame!$V$21,"",IF(A1115&lt;&gt;"",A1115,IF(AND(livegame!$T$20,livegame!$U$20&lt;&gt;"",B1115="",B1114&lt;&gt;""),livegame!$U$20,"")))</f>
        <v/>
      </c>
      <c r="B1115" t="str">
        <f>IF(livegame!$V$21,"",IF(livegame!$T$20,B1115,A1115))</f>
        <v/>
      </c>
    </row>
    <row r="1116" spans="1:2">
      <c r="A1116" t="str">
        <f>IF(livegame!$V$21,"",IF(A1116&lt;&gt;"",A1116,IF(AND(livegame!$T$20,livegame!$U$20&lt;&gt;"",B1116="",B1115&lt;&gt;""),livegame!$U$20,"")))</f>
        <v/>
      </c>
      <c r="B1116" t="str">
        <f>IF(livegame!$V$21,"",IF(livegame!$T$20,B1116,A1116))</f>
        <v/>
      </c>
    </row>
    <row r="1117" spans="1:2">
      <c r="A1117" t="str">
        <f>IF(livegame!$V$21,"",IF(A1117&lt;&gt;"",A1117,IF(AND(livegame!$T$20,livegame!$U$20&lt;&gt;"",B1117="",B1116&lt;&gt;""),livegame!$U$20,"")))</f>
        <v/>
      </c>
      <c r="B1117" t="str">
        <f>IF(livegame!$V$21,"",IF(livegame!$T$20,B1117,A1117))</f>
        <v/>
      </c>
    </row>
    <row r="1118" spans="1:2">
      <c r="A1118" t="str">
        <f>IF(livegame!$V$21,"",IF(A1118&lt;&gt;"",A1118,IF(AND(livegame!$T$20,livegame!$U$20&lt;&gt;"",B1118="",B1117&lt;&gt;""),livegame!$U$20,"")))</f>
        <v/>
      </c>
      <c r="B1118" t="str">
        <f>IF(livegame!$V$21,"",IF(livegame!$T$20,B1118,A1118))</f>
        <v/>
      </c>
    </row>
    <row r="1119" spans="1:2">
      <c r="A1119" t="str">
        <f>IF(livegame!$V$21,"",IF(A1119&lt;&gt;"",A1119,IF(AND(livegame!$T$20,livegame!$U$20&lt;&gt;"",B1119="",B1118&lt;&gt;""),livegame!$U$20,"")))</f>
        <v/>
      </c>
      <c r="B1119" t="str">
        <f>IF(livegame!$V$21,"",IF(livegame!$T$20,B1119,A1119))</f>
        <v/>
      </c>
    </row>
    <row r="1120" spans="1:2">
      <c r="A1120" t="str">
        <f>IF(livegame!$V$21,"",IF(A1120&lt;&gt;"",A1120,IF(AND(livegame!$T$20,livegame!$U$20&lt;&gt;"",B1120="",B1119&lt;&gt;""),livegame!$U$20,"")))</f>
        <v/>
      </c>
      <c r="B1120" t="str">
        <f>IF(livegame!$V$21,"",IF(livegame!$T$20,B1120,A1120))</f>
        <v/>
      </c>
    </row>
    <row r="1121" spans="1:2">
      <c r="A1121" t="str">
        <f>IF(livegame!$V$21,"",IF(A1121&lt;&gt;"",A1121,IF(AND(livegame!$T$20,livegame!$U$20&lt;&gt;"",B1121="",B1120&lt;&gt;""),livegame!$U$20,"")))</f>
        <v/>
      </c>
      <c r="B1121" t="str">
        <f>IF(livegame!$V$21,"",IF(livegame!$T$20,B1121,A1121))</f>
        <v/>
      </c>
    </row>
    <row r="1122" spans="1:2">
      <c r="A1122" t="str">
        <f>IF(livegame!$V$21,"",IF(A1122&lt;&gt;"",A1122,IF(AND(livegame!$T$20,livegame!$U$20&lt;&gt;"",B1122="",B1121&lt;&gt;""),livegame!$U$20,"")))</f>
        <v/>
      </c>
      <c r="B1122" t="str">
        <f>IF(livegame!$V$21,"",IF(livegame!$T$20,B1122,A1122))</f>
        <v/>
      </c>
    </row>
    <row r="1123" spans="1:2">
      <c r="A1123" t="str">
        <f>IF(livegame!$V$21,"",IF(A1123&lt;&gt;"",A1123,IF(AND(livegame!$T$20,livegame!$U$20&lt;&gt;"",B1123="",B1122&lt;&gt;""),livegame!$U$20,"")))</f>
        <v/>
      </c>
      <c r="B1123" t="str">
        <f>IF(livegame!$V$21,"",IF(livegame!$T$20,B1123,A1123))</f>
        <v/>
      </c>
    </row>
    <row r="1124" spans="1:2">
      <c r="A1124" t="str">
        <f>IF(livegame!$V$21,"",IF(A1124&lt;&gt;"",A1124,IF(AND(livegame!$T$20,livegame!$U$20&lt;&gt;"",B1124="",B1123&lt;&gt;""),livegame!$U$20,"")))</f>
        <v/>
      </c>
      <c r="B1124" t="str">
        <f>IF(livegame!$V$21,"",IF(livegame!$T$20,B1124,A1124))</f>
        <v/>
      </c>
    </row>
    <row r="1125" spans="1:2">
      <c r="A1125" t="str">
        <f>IF(livegame!$V$21,"",IF(A1125&lt;&gt;"",A1125,IF(AND(livegame!$T$20,livegame!$U$20&lt;&gt;"",B1125="",B1124&lt;&gt;""),livegame!$U$20,"")))</f>
        <v/>
      </c>
      <c r="B1125" t="str">
        <f>IF(livegame!$V$21,"",IF(livegame!$T$20,B1125,A1125))</f>
        <v/>
      </c>
    </row>
    <row r="1126" spans="1:2">
      <c r="A1126" t="str">
        <f>IF(livegame!$V$21,"",IF(A1126&lt;&gt;"",A1126,IF(AND(livegame!$T$20,livegame!$U$20&lt;&gt;"",B1126="",B1125&lt;&gt;""),livegame!$U$20,"")))</f>
        <v/>
      </c>
      <c r="B1126" t="str">
        <f>IF(livegame!$V$21,"",IF(livegame!$T$20,B1126,A1126))</f>
        <v/>
      </c>
    </row>
    <row r="1127" spans="1:2">
      <c r="A1127" t="str">
        <f>IF(livegame!$V$21,"",IF(A1127&lt;&gt;"",A1127,IF(AND(livegame!$T$20,livegame!$U$20&lt;&gt;"",B1127="",B1126&lt;&gt;""),livegame!$U$20,"")))</f>
        <v/>
      </c>
      <c r="B1127" t="str">
        <f>IF(livegame!$V$21,"",IF(livegame!$T$20,B1127,A1127))</f>
        <v/>
      </c>
    </row>
    <row r="1128" spans="1:2">
      <c r="A1128" t="str">
        <f>IF(livegame!$V$21,"",IF(A1128&lt;&gt;"",A1128,IF(AND(livegame!$T$20,livegame!$U$20&lt;&gt;"",B1128="",B1127&lt;&gt;""),livegame!$U$20,"")))</f>
        <v/>
      </c>
      <c r="B1128" t="str">
        <f>IF(livegame!$V$21,"",IF(livegame!$T$20,B1128,A1128))</f>
        <v/>
      </c>
    </row>
    <row r="1129" spans="1:2">
      <c r="A1129" t="str">
        <f>IF(livegame!$V$21,"",IF(A1129&lt;&gt;"",A1129,IF(AND(livegame!$T$20,livegame!$U$20&lt;&gt;"",B1129="",B1128&lt;&gt;""),livegame!$U$20,"")))</f>
        <v/>
      </c>
      <c r="B1129" t="str">
        <f>IF(livegame!$V$21,"",IF(livegame!$T$20,B1129,A1129))</f>
        <v/>
      </c>
    </row>
    <row r="1130" spans="1:2">
      <c r="A1130" t="str">
        <f>IF(livegame!$V$21,"",IF(A1130&lt;&gt;"",A1130,IF(AND(livegame!$T$20,livegame!$U$20&lt;&gt;"",B1130="",B1129&lt;&gt;""),livegame!$U$20,"")))</f>
        <v/>
      </c>
      <c r="B1130" t="str">
        <f>IF(livegame!$V$21,"",IF(livegame!$T$20,B1130,A1130))</f>
        <v/>
      </c>
    </row>
    <row r="1131" spans="1:2">
      <c r="A1131" t="str">
        <f>IF(livegame!$V$21,"",IF(A1131&lt;&gt;"",A1131,IF(AND(livegame!$T$20,livegame!$U$20&lt;&gt;"",B1131="",B1130&lt;&gt;""),livegame!$U$20,"")))</f>
        <v/>
      </c>
      <c r="B1131" t="str">
        <f>IF(livegame!$V$21,"",IF(livegame!$T$20,B1131,A1131))</f>
        <v/>
      </c>
    </row>
    <row r="1132" spans="1:2">
      <c r="A1132" t="str">
        <f>IF(livegame!$V$21,"",IF(A1132&lt;&gt;"",A1132,IF(AND(livegame!$T$20,livegame!$U$20&lt;&gt;"",B1132="",B1131&lt;&gt;""),livegame!$U$20,"")))</f>
        <v/>
      </c>
      <c r="B1132" t="str">
        <f>IF(livegame!$V$21,"",IF(livegame!$T$20,B1132,A1132))</f>
        <v/>
      </c>
    </row>
    <row r="1133" spans="1:2">
      <c r="A1133" t="str">
        <f>IF(livegame!$V$21,"",IF(A1133&lt;&gt;"",A1133,IF(AND(livegame!$T$20,livegame!$U$20&lt;&gt;"",B1133="",B1132&lt;&gt;""),livegame!$U$20,"")))</f>
        <v/>
      </c>
      <c r="B1133" t="str">
        <f>IF(livegame!$V$21,"",IF(livegame!$T$20,B1133,A1133))</f>
        <v/>
      </c>
    </row>
    <row r="1134" spans="1:2">
      <c r="A1134" t="str">
        <f>IF(livegame!$V$21,"",IF(A1134&lt;&gt;"",A1134,IF(AND(livegame!$T$20,livegame!$U$20&lt;&gt;"",B1134="",B1133&lt;&gt;""),livegame!$U$20,"")))</f>
        <v/>
      </c>
      <c r="B1134" t="str">
        <f>IF(livegame!$V$21,"",IF(livegame!$T$20,B1134,A1134))</f>
        <v/>
      </c>
    </row>
    <row r="1135" spans="1:2">
      <c r="A1135" t="str">
        <f>IF(livegame!$V$21,"",IF(A1135&lt;&gt;"",A1135,IF(AND(livegame!$T$20,livegame!$U$20&lt;&gt;"",B1135="",B1134&lt;&gt;""),livegame!$U$20,"")))</f>
        <v/>
      </c>
      <c r="B1135" t="str">
        <f>IF(livegame!$V$21,"",IF(livegame!$T$20,B1135,A1135))</f>
        <v/>
      </c>
    </row>
    <row r="1136" spans="1:2">
      <c r="A1136" t="str">
        <f>IF(livegame!$V$21,"",IF(A1136&lt;&gt;"",A1136,IF(AND(livegame!$T$20,livegame!$U$20&lt;&gt;"",B1136="",B1135&lt;&gt;""),livegame!$U$20,"")))</f>
        <v/>
      </c>
      <c r="B1136" t="str">
        <f>IF(livegame!$V$21,"",IF(livegame!$T$20,B1136,A1136))</f>
        <v/>
      </c>
    </row>
    <row r="1137" spans="1:2">
      <c r="A1137" t="str">
        <f>IF(livegame!$V$21,"",IF(A1137&lt;&gt;"",A1137,IF(AND(livegame!$T$20,livegame!$U$20&lt;&gt;"",B1137="",B1136&lt;&gt;""),livegame!$U$20,"")))</f>
        <v/>
      </c>
      <c r="B1137" t="str">
        <f>IF(livegame!$V$21,"",IF(livegame!$T$20,B1137,A1137))</f>
        <v/>
      </c>
    </row>
    <row r="1138" spans="1:2">
      <c r="A1138" t="str">
        <f>IF(livegame!$V$21,"",IF(A1138&lt;&gt;"",A1138,IF(AND(livegame!$T$20,livegame!$U$20&lt;&gt;"",B1138="",B1137&lt;&gt;""),livegame!$U$20,"")))</f>
        <v/>
      </c>
      <c r="B1138" t="str">
        <f>IF(livegame!$V$21,"",IF(livegame!$T$20,B1138,A1138))</f>
        <v/>
      </c>
    </row>
    <row r="1139" spans="1:2">
      <c r="A1139" t="str">
        <f>IF(livegame!$V$21,"",IF(A1139&lt;&gt;"",A1139,IF(AND(livegame!$T$20,livegame!$U$20&lt;&gt;"",B1139="",B1138&lt;&gt;""),livegame!$U$20,"")))</f>
        <v/>
      </c>
      <c r="B1139" t="str">
        <f>IF(livegame!$V$21,"",IF(livegame!$T$20,B1139,A1139))</f>
        <v/>
      </c>
    </row>
    <row r="1140" spans="1:2">
      <c r="A1140" t="str">
        <f>IF(livegame!$V$21,"",IF(A1140&lt;&gt;"",A1140,IF(AND(livegame!$T$20,livegame!$U$20&lt;&gt;"",B1140="",B1139&lt;&gt;""),livegame!$U$20,"")))</f>
        <v/>
      </c>
      <c r="B1140" t="str">
        <f>IF(livegame!$V$21,"",IF(livegame!$T$20,B1140,A1140))</f>
        <v/>
      </c>
    </row>
    <row r="1141" spans="1:2">
      <c r="A1141" t="str">
        <f>IF(livegame!$V$21,"",IF(A1141&lt;&gt;"",A1141,IF(AND(livegame!$T$20,livegame!$U$20&lt;&gt;"",B1141="",B1140&lt;&gt;""),livegame!$U$20,"")))</f>
        <v/>
      </c>
      <c r="B1141" t="str">
        <f>IF(livegame!$V$21,"",IF(livegame!$T$20,B1141,A1141))</f>
        <v/>
      </c>
    </row>
    <row r="1142" spans="1:2">
      <c r="A1142" t="str">
        <f>IF(livegame!$V$21,"",IF(A1142&lt;&gt;"",A1142,IF(AND(livegame!$T$20,livegame!$U$20&lt;&gt;"",B1142="",B1141&lt;&gt;""),livegame!$U$20,"")))</f>
        <v/>
      </c>
      <c r="B1142" t="str">
        <f>IF(livegame!$V$21,"",IF(livegame!$T$20,B1142,A1142))</f>
        <v/>
      </c>
    </row>
    <row r="1143" spans="1:2">
      <c r="A1143" t="str">
        <f>IF(livegame!$V$21,"",IF(A1143&lt;&gt;"",A1143,IF(AND(livegame!$T$20,livegame!$U$20&lt;&gt;"",B1143="",B1142&lt;&gt;""),livegame!$U$20,"")))</f>
        <v/>
      </c>
      <c r="B1143" t="str">
        <f>IF(livegame!$V$21,"",IF(livegame!$T$20,B1143,A1143))</f>
        <v/>
      </c>
    </row>
    <row r="1144" spans="1:2">
      <c r="A1144" t="str">
        <f>IF(livegame!$V$21,"",IF(A1144&lt;&gt;"",A1144,IF(AND(livegame!$T$20,livegame!$U$20&lt;&gt;"",B1144="",B1143&lt;&gt;""),livegame!$U$20,"")))</f>
        <v/>
      </c>
      <c r="B1144" t="str">
        <f>IF(livegame!$V$21,"",IF(livegame!$T$20,B1144,A1144))</f>
        <v/>
      </c>
    </row>
    <row r="1145" spans="1:2">
      <c r="A1145" t="str">
        <f>IF(livegame!$V$21,"",IF(A1145&lt;&gt;"",A1145,IF(AND(livegame!$T$20,livegame!$U$20&lt;&gt;"",B1145="",B1144&lt;&gt;""),livegame!$U$20,"")))</f>
        <v/>
      </c>
      <c r="B1145" t="str">
        <f>IF(livegame!$V$21,"",IF(livegame!$T$20,B1145,A1145))</f>
        <v/>
      </c>
    </row>
    <row r="1146" spans="1:2">
      <c r="A1146" t="str">
        <f>IF(livegame!$V$21,"",IF(A1146&lt;&gt;"",A1146,IF(AND(livegame!$T$20,livegame!$U$20&lt;&gt;"",B1146="",B1145&lt;&gt;""),livegame!$U$20,"")))</f>
        <v/>
      </c>
      <c r="B1146" t="str">
        <f>IF(livegame!$V$21,"",IF(livegame!$T$20,B1146,A1146))</f>
        <v/>
      </c>
    </row>
    <row r="1147" spans="1:2">
      <c r="A1147" t="str">
        <f>IF(livegame!$V$21,"",IF(A1147&lt;&gt;"",A1147,IF(AND(livegame!$T$20,livegame!$U$20&lt;&gt;"",B1147="",B1146&lt;&gt;""),livegame!$U$20,"")))</f>
        <v/>
      </c>
      <c r="B1147" t="str">
        <f>IF(livegame!$V$21,"",IF(livegame!$T$20,B1147,A1147))</f>
        <v/>
      </c>
    </row>
    <row r="1148" spans="1:2">
      <c r="A1148" t="str">
        <f>IF(livegame!$V$21,"",IF(A1148&lt;&gt;"",A1148,IF(AND(livegame!$T$20,livegame!$U$20&lt;&gt;"",B1148="",B1147&lt;&gt;""),livegame!$U$20,"")))</f>
        <v/>
      </c>
      <c r="B1148" t="str">
        <f>IF(livegame!$V$21,"",IF(livegame!$T$20,B1148,A1148))</f>
        <v/>
      </c>
    </row>
    <row r="1149" spans="1:2">
      <c r="A1149" t="str">
        <f>IF(livegame!$V$21,"",IF(A1149&lt;&gt;"",A1149,IF(AND(livegame!$T$20,livegame!$U$20&lt;&gt;"",B1149="",B1148&lt;&gt;""),livegame!$U$20,"")))</f>
        <v/>
      </c>
      <c r="B1149" t="str">
        <f>IF(livegame!$V$21,"",IF(livegame!$T$20,B1149,A1149))</f>
        <v/>
      </c>
    </row>
    <row r="1150" spans="1:2">
      <c r="A1150" t="str">
        <f>IF(livegame!$V$21,"",IF(A1150&lt;&gt;"",A1150,IF(AND(livegame!$T$20,livegame!$U$20&lt;&gt;"",B1150="",B1149&lt;&gt;""),livegame!$U$20,"")))</f>
        <v/>
      </c>
      <c r="B1150" t="str">
        <f>IF(livegame!$V$21,"",IF(livegame!$T$20,B1150,A1150))</f>
        <v/>
      </c>
    </row>
    <row r="1151" spans="1:2">
      <c r="A1151" t="str">
        <f>IF(livegame!$V$21,"",IF(A1151&lt;&gt;"",A1151,IF(AND(livegame!$T$20,livegame!$U$20&lt;&gt;"",B1151="",B1150&lt;&gt;""),livegame!$U$20,"")))</f>
        <v/>
      </c>
      <c r="B1151" t="str">
        <f>IF(livegame!$V$21,"",IF(livegame!$T$20,B1151,A1151))</f>
        <v/>
      </c>
    </row>
    <row r="1152" spans="1:2">
      <c r="A1152" t="str">
        <f>IF(livegame!$V$21,"",IF(A1152&lt;&gt;"",A1152,IF(AND(livegame!$T$20,livegame!$U$20&lt;&gt;"",B1152="",B1151&lt;&gt;""),livegame!$U$20,"")))</f>
        <v/>
      </c>
      <c r="B1152" t="str">
        <f>IF(livegame!$V$21,"",IF(livegame!$T$20,B1152,A1152))</f>
        <v/>
      </c>
    </row>
    <row r="1153" spans="1:2">
      <c r="A1153" t="str">
        <f>IF(livegame!$V$21,"",IF(A1153&lt;&gt;"",A1153,IF(AND(livegame!$T$20,livegame!$U$20&lt;&gt;"",B1153="",B1152&lt;&gt;""),livegame!$U$20,"")))</f>
        <v/>
      </c>
      <c r="B1153" t="str">
        <f>IF(livegame!$V$21,"",IF(livegame!$T$20,B1153,A1153))</f>
        <v/>
      </c>
    </row>
    <row r="1154" spans="1:2">
      <c r="A1154" t="str">
        <f>IF(livegame!$V$21,"",IF(A1154&lt;&gt;"",A1154,IF(AND(livegame!$T$20,livegame!$U$20&lt;&gt;"",B1154="",B1153&lt;&gt;""),livegame!$U$20,"")))</f>
        <v/>
      </c>
      <c r="B1154" t="str">
        <f>IF(livegame!$V$21,"",IF(livegame!$T$20,B1154,A1154))</f>
        <v/>
      </c>
    </row>
    <row r="1155" spans="1:2">
      <c r="A1155" t="str">
        <f>IF(livegame!$V$21,"",IF(A1155&lt;&gt;"",A1155,IF(AND(livegame!$T$20,livegame!$U$20&lt;&gt;"",B1155="",B1154&lt;&gt;""),livegame!$U$20,"")))</f>
        <v/>
      </c>
      <c r="B1155" t="str">
        <f>IF(livegame!$V$21,"",IF(livegame!$T$20,B1155,A1155))</f>
        <v/>
      </c>
    </row>
    <row r="1156" spans="1:2">
      <c r="A1156" t="str">
        <f>IF(livegame!$V$21,"",IF(A1156&lt;&gt;"",A1156,IF(AND(livegame!$T$20,livegame!$U$20&lt;&gt;"",B1156="",B1155&lt;&gt;""),livegame!$U$20,"")))</f>
        <v/>
      </c>
      <c r="B1156" t="str">
        <f>IF(livegame!$V$21,"",IF(livegame!$T$20,B1156,A1156))</f>
        <v/>
      </c>
    </row>
    <row r="1157" spans="1:2">
      <c r="A1157" t="str">
        <f>IF(livegame!$V$21,"",IF(A1157&lt;&gt;"",A1157,IF(AND(livegame!$T$20,livegame!$U$20&lt;&gt;"",B1157="",B1156&lt;&gt;""),livegame!$U$20,"")))</f>
        <v/>
      </c>
      <c r="B1157" t="str">
        <f>IF(livegame!$V$21,"",IF(livegame!$T$20,B1157,A1157))</f>
        <v/>
      </c>
    </row>
    <row r="1158" spans="1:2">
      <c r="A1158" t="str">
        <f>IF(livegame!$V$21,"",IF(A1158&lt;&gt;"",A1158,IF(AND(livegame!$T$20,livegame!$U$20&lt;&gt;"",B1158="",B1157&lt;&gt;""),livegame!$U$20,"")))</f>
        <v/>
      </c>
      <c r="B1158" t="str">
        <f>IF(livegame!$V$21,"",IF(livegame!$T$20,B1158,A1158))</f>
        <v/>
      </c>
    </row>
    <row r="1159" spans="1:2">
      <c r="A1159" t="str">
        <f>IF(livegame!$V$21,"",IF(A1159&lt;&gt;"",A1159,IF(AND(livegame!$T$20,livegame!$U$20&lt;&gt;"",B1159="",B1158&lt;&gt;""),livegame!$U$20,"")))</f>
        <v/>
      </c>
      <c r="B1159" t="str">
        <f>IF(livegame!$V$21,"",IF(livegame!$T$20,B1159,A1159))</f>
        <v/>
      </c>
    </row>
    <row r="1160" spans="1:2">
      <c r="A1160" t="str">
        <f>IF(livegame!$V$21,"",IF(A1160&lt;&gt;"",A1160,IF(AND(livegame!$T$20,livegame!$U$20&lt;&gt;"",B1160="",B1159&lt;&gt;""),livegame!$U$20,"")))</f>
        <v/>
      </c>
      <c r="B1160" t="str">
        <f>IF(livegame!$V$21,"",IF(livegame!$T$20,B1160,A1160))</f>
        <v/>
      </c>
    </row>
    <row r="1161" spans="1:2">
      <c r="A1161" t="str">
        <f>IF(livegame!$V$21,"",IF(A1161&lt;&gt;"",A1161,IF(AND(livegame!$T$20,livegame!$U$20&lt;&gt;"",B1161="",B1160&lt;&gt;""),livegame!$U$20,"")))</f>
        <v/>
      </c>
      <c r="B1161" t="str">
        <f>IF(livegame!$V$21,"",IF(livegame!$T$20,B1161,A1161))</f>
        <v/>
      </c>
    </row>
    <row r="1162" spans="1:2">
      <c r="A1162" t="str">
        <f>IF(livegame!$V$21,"",IF(A1162&lt;&gt;"",A1162,IF(AND(livegame!$T$20,livegame!$U$20&lt;&gt;"",B1162="",B1161&lt;&gt;""),livegame!$U$20,"")))</f>
        <v/>
      </c>
      <c r="B1162" t="str">
        <f>IF(livegame!$V$21,"",IF(livegame!$T$20,B1162,A1162))</f>
        <v/>
      </c>
    </row>
    <row r="1163" spans="1:2">
      <c r="A1163" t="str">
        <f>IF(livegame!$V$21,"",IF(A1163&lt;&gt;"",A1163,IF(AND(livegame!$T$20,livegame!$U$20&lt;&gt;"",B1163="",B1162&lt;&gt;""),livegame!$U$20,"")))</f>
        <v/>
      </c>
      <c r="B1163" t="str">
        <f>IF(livegame!$V$21,"",IF(livegame!$T$20,B1163,A1163))</f>
        <v/>
      </c>
    </row>
    <row r="1164" spans="1:2">
      <c r="A1164" t="str">
        <f>IF(livegame!$V$21,"",IF(A1164&lt;&gt;"",A1164,IF(AND(livegame!$T$20,livegame!$U$20&lt;&gt;"",B1164="",B1163&lt;&gt;""),livegame!$U$20,"")))</f>
        <v/>
      </c>
      <c r="B1164" t="str">
        <f>IF(livegame!$V$21,"",IF(livegame!$T$20,B1164,A1164))</f>
        <v/>
      </c>
    </row>
    <row r="1165" spans="1:2">
      <c r="A1165" t="str">
        <f>IF(livegame!$V$21,"",IF(A1165&lt;&gt;"",A1165,IF(AND(livegame!$T$20,livegame!$U$20&lt;&gt;"",B1165="",B1164&lt;&gt;""),livegame!$U$20,"")))</f>
        <v/>
      </c>
      <c r="B1165" t="str">
        <f>IF(livegame!$V$21,"",IF(livegame!$T$20,B1165,A1165))</f>
        <v/>
      </c>
    </row>
    <row r="1166" spans="1:2">
      <c r="A1166" t="str">
        <f>IF(livegame!$V$21,"",IF(A1166&lt;&gt;"",A1166,IF(AND(livegame!$T$20,livegame!$U$20&lt;&gt;"",B1166="",B1165&lt;&gt;""),livegame!$U$20,"")))</f>
        <v/>
      </c>
      <c r="B1166" t="str">
        <f>IF(livegame!$V$21,"",IF(livegame!$T$20,B1166,A1166))</f>
        <v/>
      </c>
    </row>
    <row r="1167" spans="1:2">
      <c r="A1167" t="str">
        <f>IF(livegame!$V$21,"",IF(A1167&lt;&gt;"",A1167,IF(AND(livegame!$T$20,livegame!$U$20&lt;&gt;"",B1167="",B1166&lt;&gt;""),livegame!$U$20,"")))</f>
        <v/>
      </c>
      <c r="B1167" t="str">
        <f>IF(livegame!$V$21,"",IF(livegame!$T$20,B1167,A1167))</f>
        <v/>
      </c>
    </row>
    <row r="1168" spans="1:2">
      <c r="A1168" t="str">
        <f>IF(livegame!$V$21,"",IF(A1168&lt;&gt;"",A1168,IF(AND(livegame!$T$20,livegame!$U$20&lt;&gt;"",B1168="",B1167&lt;&gt;""),livegame!$U$20,"")))</f>
        <v/>
      </c>
      <c r="B1168" t="str">
        <f>IF(livegame!$V$21,"",IF(livegame!$T$20,B1168,A1168))</f>
        <v/>
      </c>
    </row>
    <row r="1169" spans="1:2">
      <c r="A1169" t="str">
        <f>IF(livegame!$V$21,"",IF(A1169&lt;&gt;"",A1169,IF(AND(livegame!$T$20,livegame!$U$20&lt;&gt;"",B1169="",B1168&lt;&gt;""),livegame!$U$20,"")))</f>
        <v/>
      </c>
      <c r="B1169" t="str">
        <f>IF(livegame!$V$21,"",IF(livegame!$T$20,B1169,A1169))</f>
        <v/>
      </c>
    </row>
    <row r="1170" spans="1:2">
      <c r="A1170" t="str">
        <f>IF(livegame!$V$21,"",IF(A1170&lt;&gt;"",A1170,IF(AND(livegame!$T$20,livegame!$U$20&lt;&gt;"",B1170="",B1169&lt;&gt;""),livegame!$U$20,"")))</f>
        <v/>
      </c>
      <c r="B1170" t="str">
        <f>IF(livegame!$V$21,"",IF(livegame!$T$20,B1170,A1170))</f>
        <v/>
      </c>
    </row>
    <row r="1171" spans="1:2">
      <c r="A1171" t="str">
        <f>IF(livegame!$V$21,"",IF(A1171&lt;&gt;"",A1171,IF(AND(livegame!$T$20,livegame!$U$20&lt;&gt;"",B1171="",B1170&lt;&gt;""),livegame!$U$20,"")))</f>
        <v/>
      </c>
      <c r="B1171" t="str">
        <f>IF(livegame!$V$21,"",IF(livegame!$T$20,B1171,A1171))</f>
        <v/>
      </c>
    </row>
    <row r="1172" spans="1:2">
      <c r="A1172" t="str">
        <f>IF(livegame!$V$21,"",IF(A1172&lt;&gt;"",A1172,IF(AND(livegame!$T$20,livegame!$U$20&lt;&gt;"",B1172="",B1171&lt;&gt;""),livegame!$U$20,"")))</f>
        <v/>
      </c>
      <c r="B1172" t="str">
        <f>IF(livegame!$V$21,"",IF(livegame!$T$20,B1172,A1172))</f>
        <v/>
      </c>
    </row>
    <row r="1173" spans="1:2">
      <c r="A1173" t="str">
        <f>IF(livegame!$V$21,"",IF(A1173&lt;&gt;"",A1173,IF(AND(livegame!$T$20,livegame!$U$20&lt;&gt;"",B1173="",B1172&lt;&gt;""),livegame!$U$20,"")))</f>
        <v/>
      </c>
      <c r="B1173" t="str">
        <f>IF(livegame!$V$21,"",IF(livegame!$T$20,B1173,A1173))</f>
        <v/>
      </c>
    </row>
    <row r="1174" spans="1:2">
      <c r="A1174" t="str">
        <f>IF(livegame!$V$21,"",IF(A1174&lt;&gt;"",A1174,IF(AND(livegame!$T$20,livegame!$U$20&lt;&gt;"",B1174="",B1173&lt;&gt;""),livegame!$U$20,"")))</f>
        <v/>
      </c>
      <c r="B1174" t="str">
        <f>IF(livegame!$V$21,"",IF(livegame!$T$20,B1174,A1174))</f>
        <v/>
      </c>
    </row>
    <row r="1175" spans="1:2">
      <c r="A1175" t="str">
        <f>IF(livegame!$V$21,"",IF(A1175&lt;&gt;"",A1175,IF(AND(livegame!$T$20,livegame!$U$20&lt;&gt;"",B1175="",B1174&lt;&gt;""),livegame!$U$20,"")))</f>
        <v/>
      </c>
      <c r="B1175" t="str">
        <f>IF(livegame!$V$21,"",IF(livegame!$T$20,B1175,A1175))</f>
        <v/>
      </c>
    </row>
    <row r="1176" spans="1:2">
      <c r="A1176" t="str">
        <f>IF(livegame!$V$21,"",IF(A1176&lt;&gt;"",A1176,IF(AND(livegame!$T$20,livegame!$U$20&lt;&gt;"",B1176="",B1175&lt;&gt;""),livegame!$U$20,"")))</f>
        <v/>
      </c>
      <c r="B1176" t="str">
        <f>IF(livegame!$V$21,"",IF(livegame!$T$20,B1176,A1176))</f>
        <v/>
      </c>
    </row>
    <row r="1177" spans="1:2">
      <c r="A1177" t="str">
        <f>IF(livegame!$V$21,"",IF(A1177&lt;&gt;"",A1177,IF(AND(livegame!$T$20,livegame!$U$20&lt;&gt;"",B1177="",B1176&lt;&gt;""),livegame!$U$20,"")))</f>
        <v/>
      </c>
      <c r="B1177" t="str">
        <f>IF(livegame!$V$21,"",IF(livegame!$T$20,B1177,A1177))</f>
        <v/>
      </c>
    </row>
    <row r="1178" spans="1:2">
      <c r="A1178" t="str">
        <f>IF(livegame!$V$21,"",IF(A1178&lt;&gt;"",A1178,IF(AND(livegame!$T$20,livegame!$U$20&lt;&gt;"",B1178="",B1177&lt;&gt;""),livegame!$U$20,"")))</f>
        <v/>
      </c>
      <c r="B1178" t="str">
        <f>IF(livegame!$V$21,"",IF(livegame!$T$20,B1178,A1178))</f>
        <v/>
      </c>
    </row>
    <row r="1179" spans="1:2">
      <c r="A1179" t="str">
        <f>IF(livegame!$V$21,"",IF(A1179&lt;&gt;"",A1179,IF(AND(livegame!$T$20,livegame!$U$20&lt;&gt;"",B1179="",B1178&lt;&gt;""),livegame!$U$20,"")))</f>
        <v/>
      </c>
      <c r="B1179" t="str">
        <f>IF(livegame!$V$21,"",IF(livegame!$T$20,B1179,A1179))</f>
        <v/>
      </c>
    </row>
    <row r="1180" spans="1:2">
      <c r="A1180" t="str">
        <f>IF(livegame!$V$21,"",IF(A1180&lt;&gt;"",A1180,IF(AND(livegame!$T$20,livegame!$U$20&lt;&gt;"",B1180="",B1179&lt;&gt;""),livegame!$U$20,"")))</f>
        <v/>
      </c>
      <c r="B1180" t="str">
        <f>IF(livegame!$V$21,"",IF(livegame!$T$20,B1180,A1180))</f>
        <v/>
      </c>
    </row>
    <row r="1181" spans="1:2">
      <c r="A1181" t="str">
        <f>IF(livegame!$V$21,"",IF(A1181&lt;&gt;"",A1181,IF(AND(livegame!$T$20,livegame!$U$20&lt;&gt;"",B1181="",B1180&lt;&gt;""),livegame!$U$20,"")))</f>
        <v/>
      </c>
      <c r="B1181" t="str">
        <f>IF(livegame!$V$21,"",IF(livegame!$T$20,B1181,A1181))</f>
        <v/>
      </c>
    </row>
    <row r="1182" spans="1:2">
      <c r="A1182" t="str">
        <f>IF(livegame!$V$21,"",IF(A1182&lt;&gt;"",A1182,IF(AND(livegame!$T$20,livegame!$U$20&lt;&gt;"",B1182="",B1181&lt;&gt;""),livegame!$U$20,"")))</f>
        <v/>
      </c>
      <c r="B1182" t="str">
        <f>IF(livegame!$V$21,"",IF(livegame!$T$20,B1182,A1182))</f>
        <v/>
      </c>
    </row>
    <row r="1183" spans="1:2">
      <c r="A1183" t="str">
        <f>IF(livegame!$V$21,"",IF(A1183&lt;&gt;"",A1183,IF(AND(livegame!$T$20,livegame!$U$20&lt;&gt;"",B1183="",B1182&lt;&gt;""),livegame!$U$20,"")))</f>
        <v/>
      </c>
      <c r="B1183" t="str">
        <f>IF(livegame!$V$21,"",IF(livegame!$T$20,B1183,A1183))</f>
        <v/>
      </c>
    </row>
    <row r="1184" spans="1:2">
      <c r="A1184" t="str">
        <f>IF(livegame!$V$21,"",IF(A1184&lt;&gt;"",A1184,IF(AND(livegame!$T$20,livegame!$U$20&lt;&gt;"",B1184="",B1183&lt;&gt;""),livegame!$U$20,"")))</f>
        <v/>
      </c>
      <c r="B1184" t="str">
        <f>IF(livegame!$V$21,"",IF(livegame!$T$20,B1184,A1184))</f>
        <v/>
      </c>
    </row>
    <row r="1185" spans="1:2">
      <c r="A1185" t="str">
        <f>IF(livegame!$V$21,"",IF(A1185&lt;&gt;"",A1185,IF(AND(livegame!$T$20,livegame!$U$20&lt;&gt;"",B1185="",B1184&lt;&gt;""),livegame!$U$20,"")))</f>
        <v/>
      </c>
      <c r="B1185" t="str">
        <f>IF(livegame!$V$21,"",IF(livegame!$T$20,B1185,A1185))</f>
        <v/>
      </c>
    </row>
    <row r="1186" spans="1:2">
      <c r="A1186" t="str">
        <f>IF(livegame!$V$21,"",IF(A1186&lt;&gt;"",A1186,IF(AND(livegame!$T$20,livegame!$U$20&lt;&gt;"",B1186="",B1185&lt;&gt;""),livegame!$U$20,"")))</f>
        <v/>
      </c>
      <c r="B1186" t="str">
        <f>IF(livegame!$V$21,"",IF(livegame!$T$20,B1186,A1186))</f>
        <v/>
      </c>
    </row>
    <row r="1187" spans="1:2">
      <c r="A1187" t="str">
        <f>IF(livegame!$V$21,"",IF(A1187&lt;&gt;"",A1187,IF(AND(livegame!$T$20,livegame!$U$20&lt;&gt;"",B1187="",B1186&lt;&gt;""),livegame!$U$20,"")))</f>
        <v/>
      </c>
      <c r="B1187" t="str">
        <f>IF(livegame!$V$21,"",IF(livegame!$T$20,B1187,A1187))</f>
        <v/>
      </c>
    </row>
    <row r="1188" spans="1:2">
      <c r="A1188" t="str">
        <f>IF(livegame!$V$21,"",IF(A1188&lt;&gt;"",A1188,IF(AND(livegame!$T$20,livegame!$U$20&lt;&gt;"",B1188="",B1187&lt;&gt;""),livegame!$U$20,"")))</f>
        <v/>
      </c>
      <c r="B1188" t="str">
        <f>IF(livegame!$V$21,"",IF(livegame!$T$20,B1188,A1188))</f>
        <v/>
      </c>
    </row>
    <row r="1189" spans="1:2">
      <c r="A1189" t="str">
        <f>IF(livegame!$V$21,"",IF(A1189&lt;&gt;"",A1189,IF(AND(livegame!$T$20,livegame!$U$20&lt;&gt;"",B1189="",B1188&lt;&gt;""),livegame!$U$20,"")))</f>
        <v/>
      </c>
      <c r="B1189" t="str">
        <f>IF(livegame!$V$21,"",IF(livegame!$T$20,B1189,A1189))</f>
        <v/>
      </c>
    </row>
    <row r="1190" spans="1:2">
      <c r="A1190" t="str">
        <f>IF(livegame!$V$21,"",IF(A1190&lt;&gt;"",A1190,IF(AND(livegame!$T$20,livegame!$U$20&lt;&gt;"",B1190="",B1189&lt;&gt;""),livegame!$U$20,"")))</f>
        <v/>
      </c>
      <c r="B1190" t="str">
        <f>IF(livegame!$V$21,"",IF(livegame!$T$20,B1190,A1190))</f>
        <v/>
      </c>
    </row>
    <row r="1191" spans="1:2">
      <c r="A1191" t="str">
        <f>IF(livegame!$V$21,"",IF(A1191&lt;&gt;"",A1191,IF(AND(livegame!$T$20,livegame!$U$20&lt;&gt;"",B1191="",B1190&lt;&gt;""),livegame!$U$20,"")))</f>
        <v/>
      </c>
      <c r="B1191" t="str">
        <f>IF(livegame!$V$21,"",IF(livegame!$T$20,B1191,A1191))</f>
        <v/>
      </c>
    </row>
    <row r="1192" spans="1:2">
      <c r="A1192" t="str">
        <f>IF(livegame!$V$21,"",IF(A1192&lt;&gt;"",A1192,IF(AND(livegame!$T$20,livegame!$U$20&lt;&gt;"",B1192="",B1191&lt;&gt;""),livegame!$U$20,"")))</f>
        <v/>
      </c>
      <c r="B1192" t="str">
        <f>IF(livegame!$V$21,"",IF(livegame!$T$20,B1192,A1192))</f>
        <v/>
      </c>
    </row>
    <row r="1193" spans="1:2">
      <c r="A1193" t="str">
        <f>IF(livegame!$V$21,"",IF(A1193&lt;&gt;"",A1193,IF(AND(livegame!$T$20,livegame!$U$20&lt;&gt;"",B1193="",B1192&lt;&gt;""),livegame!$U$20,"")))</f>
        <v/>
      </c>
      <c r="B1193" t="str">
        <f>IF(livegame!$V$21,"",IF(livegame!$T$20,B1193,A1193))</f>
        <v/>
      </c>
    </row>
    <row r="1194" spans="1:2">
      <c r="A1194" t="str">
        <f>IF(livegame!$V$21,"",IF(A1194&lt;&gt;"",A1194,IF(AND(livegame!$T$20,livegame!$U$20&lt;&gt;"",B1194="",B1193&lt;&gt;""),livegame!$U$20,"")))</f>
        <v/>
      </c>
      <c r="B1194" t="str">
        <f>IF(livegame!$V$21,"",IF(livegame!$T$20,B1194,A1194))</f>
        <v/>
      </c>
    </row>
    <row r="1195" spans="1:2">
      <c r="A1195" t="str">
        <f>IF(livegame!$V$21,"",IF(A1195&lt;&gt;"",A1195,IF(AND(livegame!$T$20,livegame!$U$20&lt;&gt;"",B1195="",B1194&lt;&gt;""),livegame!$U$20,"")))</f>
        <v/>
      </c>
      <c r="B1195" t="str">
        <f>IF(livegame!$V$21,"",IF(livegame!$T$20,B1195,A1195))</f>
        <v/>
      </c>
    </row>
    <row r="1196" spans="1:2">
      <c r="A1196" t="str">
        <f>IF(livegame!$V$21,"",IF(A1196&lt;&gt;"",A1196,IF(AND(livegame!$T$20,livegame!$U$20&lt;&gt;"",B1196="",B1195&lt;&gt;""),livegame!$U$20,"")))</f>
        <v/>
      </c>
      <c r="B1196" t="str">
        <f>IF(livegame!$V$21,"",IF(livegame!$T$20,B1196,A1196))</f>
        <v/>
      </c>
    </row>
    <row r="1197" spans="1:2">
      <c r="A1197" t="str">
        <f>IF(livegame!$V$21,"",IF(A1197&lt;&gt;"",A1197,IF(AND(livegame!$T$20,livegame!$U$20&lt;&gt;"",B1197="",B1196&lt;&gt;""),livegame!$U$20,"")))</f>
        <v/>
      </c>
      <c r="B1197" t="str">
        <f>IF(livegame!$V$21,"",IF(livegame!$T$20,B1197,A1197))</f>
        <v/>
      </c>
    </row>
    <row r="1198" spans="1:2">
      <c r="A1198" t="str">
        <f>IF(livegame!$V$21,"",IF(A1198&lt;&gt;"",A1198,IF(AND(livegame!$T$20,livegame!$U$20&lt;&gt;"",B1198="",B1197&lt;&gt;""),livegame!$U$20,"")))</f>
        <v/>
      </c>
      <c r="B1198" t="str">
        <f>IF(livegame!$V$21,"",IF(livegame!$T$20,B1198,A1198))</f>
        <v/>
      </c>
    </row>
    <row r="1199" spans="1:2">
      <c r="A1199" t="str">
        <f>IF(livegame!$V$21,"",IF(A1199&lt;&gt;"",A1199,IF(AND(livegame!$T$20,livegame!$U$20&lt;&gt;"",B1199="",B1198&lt;&gt;""),livegame!$U$20,"")))</f>
        <v/>
      </c>
      <c r="B1199" t="str">
        <f>IF(livegame!$V$21,"",IF(livegame!$T$20,B1199,A1199))</f>
        <v/>
      </c>
    </row>
    <row r="1200" spans="1:2">
      <c r="A1200" t="str">
        <f>IF(livegame!$V$21,"",IF(A1200&lt;&gt;"",A1200,IF(AND(livegame!$T$20,livegame!$U$20&lt;&gt;"",B1200="",B1199&lt;&gt;""),livegame!$U$20,"")))</f>
        <v/>
      </c>
      <c r="B1200" t="str">
        <f>IF(livegame!$V$21,"",IF(livegame!$T$20,B1200,A1200))</f>
        <v/>
      </c>
    </row>
    <row r="1201" spans="1:2">
      <c r="A1201" t="str">
        <f>IF(livegame!$V$21,"",IF(A1201&lt;&gt;"",A1201,IF(AND(livegame!$T$20,livegame!$U$20&lt;&gt;"",B1201="",B1200&lt;&gt;""),livegame!$U$20,"")))</f>
        <v/>
      </c>
      <c r="B1201" t="str">
        <f>IF(livegame!$V$21,"",IF(livegame!$T$20,B1201,A1201))</f>
        <v/>
      </c>
    </row>
    <row r="1202" spans="1:2">
      <c r="A1202" t="str">
        <f>IF(livegame!$V$21,"",IF(A1202&lt;&gt;"",A1202,IF(AND(livegame!$T$20,livegame!$U$20&lt;&gt;"",B1202="",B1201&lt;&gt;""),livegame!$U$20,"")))</f>
        <v/>
      </c>
      <c r="B1202" t="str">
        <f>IF(livegame!$V$21,"",IF(livegame!$T$20,B1202,A1202))</f>
        <v/>
      </c>
    </row>
    <row r="1203" spans="1:2">
      <c r="A1203" t="str">
        <f>IF(livegame!$V$21,"",IF(A1203&lt;&gt;"",A1203,IF(AND(livegame!$T$20,livegame!$U$20&lt;&gt;"",B1203="",B1202&lt;&gt;""),livegame!$U$20,"")))</f>
        <v/>
      </c>
      <c r="B1203" t="str">
        <f>IF(livegame!$V$21,"",IF(livegame!$T$20,B1203,A1203))</f>
        <v/>
      </c>
    </row>
    <row r="1204" spans="1:2">
      <c r="A1204" t="str">
        <f>IF(livegame!$V$21,"",IF(A1204&lt;&gt;"",A1204,IF(AND(livegame!$T$20,livegame!$U$20&lt;&gt;"",B1204="",B1203&lt;&gt;""),livegame!$U$20,"")))</f>
        <v/>
      </c>
      <c r="B1204" t="str">
        <f>IF(livegame!$V$21,"",IF(livegame!$T$20,B1204,A1204))</f>
        <v/>
      </c>
    </row>
    <row r="1205" spans="1:2">
      <c r="A1205" t="str">
        <f>IF(livegame!$V$21,"",IF(A1205&lt;&gt;"",A1205,IF(AND(livegame!$T$20,livegame!$U$20&lt;&gt;"",B1205="",B1204&lt;&gt;""),livegame!$U$20,"")))</f>
        <v/>
      </c>
      <c r="B1205" t="str">
        <f>IF(livegame!$V$21,"",IF(livegame!$T$20,B1205,A1205))</f>
        <v/>
      </c>
    </row>
    <row r="1206" spans="1:2">
      <c r="A1206" t="str">
        <f>IF(livegame!$V$21,"",IF(A1206&lt;&gt;"",A1206,IF(AND(livegame!$T$20,livegame!$U$20&lt;&gt;"",B1206="",B1205&lt;&gt;""),livegame!$U$20,"")))</f>
        <v/>
      </c>
      <c r="B1206" t="str">
        <f>IF(livegame!$V$21,"",IF(livegame!$T$20,B1206,A1206))</f>
        <v/>
      </c>
    </row>
    <row r="1207" spans="1:2">
      <c r="A1207" t="str">
        <f>IF(livegame!$V$21,"",IF(A1207&lt;&gt;"",A1207,IF(AND(livegame!$T$20,livegame!$U$20&lt;&gt;"",B1207="",B1206&lt;&gt;""),livegame!$U$20,"")))</f>
        <v/>
      </c>
      <c r="B1207" t="str">
        <f>IF(livegame!$V$21,"",IF(livegame!$T$20,B1207,A1207))</f>
        <v/>
      </c>
    </row>
    <row r="1208" spans="1:2">
      <c r="A1208" t="str">
        <f>IF(livegame!$V$21,"",IF(A1208&lt;&gt;"",A1208,IF(AND(livegame!$T$20,livegame!$U$20&lt;&gt;"",B1208="",B1207&lt;&gt;""),livegame!$U$20,"")))</f>
        <v/>
      </c>
      <c r="B1208" t="str">
        <f>IF(livegame!$V$21,"",IF(livegame!$T$20,B1208,A1208))</f>
        <v/>
      </c>
    </row>
    <row r="1209" spans="1:2">
      <c r="A1209" t="str">
        <f>IF(livegame!$V$21,"",IF(A1209&lt;&gt;"",A1209,IF(AND(livegame!$T$20,livegame!$U$20&lt;&gt;"",B1209="",B1208&lt;&gt;""),livegame!$U$20,"")))</f>
        <v/>
      </c>
      <c r="B1209" t="str">
        <f>IF(livegame!$V$21,"",IF(livegame!$T$20,B1209,A1209))</f>
        <v/>
      </c>
    </row>
    <row r="1210" spans="1:2">
      <c r="A1210" t="str">
        <f>IF(livegame!$V$21,"",IF(A1210&lt;&gt;"",A1210,IF(AND(livegame!$T$20,livegame!$U$20&lt;&gt;"",B1210="",B1209&lt;&gt;""),livegame!$U$20,"")))</f>
        <v/>
      </c>
      <c r="B1210" t="str">
        <f>IF(livegame!$V$21,"",IF(livegame!$T$20,B1210,A1210))</f>
        <v/>
      </c>
    </row>
    <row r="1211" spans="1:2">
      <c r="A1211" t="str">
        <f>IF(livegame!$V$21,"",IF(A1211&lt;&gt;"",A1211,IF(AND(livegame!$T$20,livegame!$U$20&lt;&gt;"",B1211="",B1210&lt;&gt;""),livegame!$U$20,"")))</f>
        <v/>
      </c>
      <c r="B1211" t="str">
        <f>IF(livegame!$V$21,"",IF(livegame!$T$20,B1211,A1211))</f>
        <v/>
      </c>
    </row>
    <row r="1212" spans="1:2">
      <c r="A1212" t="str">
        <f>IF(livegame!$V$21,"",IF(A1212&lt;&gt;"",A1212,IF(AND(livegame!$T$20,livegame!$U$20&lt;&gt;"",B1212="",B1211&lt;&gt;""),livegame!$U$20,"")))</f>
        <v/>
      </c>
      <c r="B1212" t="str">
        <f>IF(livegame!$V$21,"",IF(livegame!$T$20,B1212,A1212))</f>
        <v/>
      </c>
    </row>
    <row r="1213" spans="1:2">
      <c r="A1213" t="str">
        <f>IF(livegame!$V$21,"",IF(A1213&lt;&gt;"",A1213,IF(AND(livegame!$T$20,livegame!$U$20&lt;&gt;"",B1213="",B1212&lt;&gt;""),livegame!$U$20,"")))</f>
        <v/>
      </c>
      <c r="B1213" t="str">
        <f>IF(livegame!$V$21,"",IF(livegame!$T$20,B1213,A1213))</f>
        <v/>
      </c>
    </row>
    <row r="1214" spans="1:2">
      <c r="A1214" t="str">
        <f>IF(livegame!$V$21,"",IF(A1214&lt;&gt;"",A1214,IF(AND(livegame!$T$20,livegame!$U$20&lt;&gt;"",B1214="",B1213&lt;&gt;""),livegame!$U$20,"")))</f>
        <v/>
      </c>
      <c r="B1214" t="str">
        <f>IF(livegame!$V$21,"",IF(livegame!$T$20,B1214,A1214))</f>
        <v/>
      </c>
    </row>
    <row r="1215" spans="1:2">
      <c r="A1215" t="str">
        <f>IF(livegame!$V$21,"",IF(A1215&lt;&gt;"",A1215,IF(AND(livegame!$T$20,livegame!$U$20&lt;&gt;"",B1215="",B1214&lt;&gt;""),livegame!$U$20,"")))</f>
        <v/>
      </c>
      <c r="B1215" t="str">
        <f>IF(livegame!$V$21,"",IF(livegame!$T$20,B1215,A1215))</f>
        <v/>
      </c>
    </row>
    <row r="1216" spans="1:2">
      <c r="A1216" t="str">
        <f>IF(livegame!$V$21,"",IF(A1216&lt;&gt;"",A1216,IF(AND(livegame!$T$20,livegame!$U$20&lt;&gt;"",B1216="",B1215&lt;&gt;""),livegame!$U$20,"")))</f>
        <v/>
      </c>
      <c r="B1216" t="str">
        <f>IF(livegame!$V$21,"",IF(livegame!$T$20,B1216,A1216))</f>
        <v/>
      </c>
    </row>
    <row r="1217" spans="1:2">
      <c r="A1217" t="str">
        <f>IF(livegame!$V$21,"",IF(A1217&lt;&gt;"",A1217,IF(AND(livegame!$T$20,livegame!$U$20&lt;&gt;"",B1217="",B1216&lt;&gt;""),livegame!$U$20,"")))</f>
        <v/>
      </c>
      <c r="B1217" t="str">
        <f>IF(livegame!$V$21,"",IF(livegame!$T$20,B1217,A1217))</f>
        <v/>
      </c>
    </row>
    <row r="1218" spans="1:2">
      <c r="A1218" t="str">
        <f>IF(livegame!$V$21,"",IF(A1218&lt;&gt;"",A1218,IF(AND(livegame!$T$20,livegame!$U$20&lt;&gt;"",B1218="",B1217&lt;&gt;""),livegame!$U$20,"")))</f>
        <v/>
      </c>
      <c r="B1218" t="str">
        <f>IF(livegame!$V$21,"",IF(livegame!$T$20,B1218,A1218))</f>
        <v/>
      </c>
    </row>
    <row r="1219" spans="1:2">
      <c r="A1219" t="str">
        <f>IF(livegame!$V$21,"",IF(A1219&lt;&gt;"",A1219,IF(AND(livegame!$T$20,livegame!$U$20&lt;&gt;"",B1219="",B1218&lt;&gt;""),livegame!$U$20,"")))</f>
        <v/>
      </c>
      <c r="B1219" t="str">
        <f>IF(livegame!$V$21,"",IF(livegame!$T$20,B1219,A1219))</f>
        <v/>
      </c>
    </row>
    <row r="1220" spans="1:2">
      <c r="A1220" t="str">
        <f>IF(livegame!$V$21,"",IF(A1220&lt;&gt;"",A1220,IF(AND(livegame!$T$20,livegame!$U$20&lt;&gt;"",B1220="",B1219&lt;&gt;""),livegame!$U$20,"")))</f>
        <v/>
      </c>
      <c r="B1220" t="str">
        <f>IF(livegame!$V$21,"",IF(livegame!$T$20,B1220,A1220))</f>
        <v/>
      </c>
    </row>
    <row r="1221" spans="1:2">
      <c r="A1221" t="str">
        <f>IF(livegame!$V$21,"",IF(A1221&lt;&gt;"",A1221,IF(AND(livegame!$T$20,livegame!$U$20&lt;&gt;"",B1221="",B1220&lt;&gt;""),livegame!$U$20,"")))</f>
        <v/>
      </c>
      <c r="B1221" t="str">
        <f>IF(livegame!$V$21,"",IF(livegame!$T$20,B1221,A1221))</f>
        <v/>
      </c>
    </row>
    <row r="1222" spans="1:2">
      <c r="A1222" t="str">
        <f>IF(livegame!$V$21,"",IF(A1222&lt;&gt;"",A1222,IF(AND(livegame!$T$20,livegame!$U$20&lt;&gt;"",B1222="",B1221&lt;&gt;""),livegame!$U$20,"")))</f>
        <v/>
      </c>
      <c r="B1222" t="str">
        <f>IF(livegame!$V$21,"",IF(livegame!$T$20,B1222,A1222))</f>
        <v/>
      </c>
    </row>
    <row r="1223" spans="1:2">
      <c r="A1223" t="str">
        <f>IF(livegame!$V$21,"",IF(A1223&lt;&gt;"",A1223,IF(AND(livegame!$T$20,livegame!$U$20&lt;&gt;"",B1223="",B1222&lt;&gt;""),livegame!$U$20,"")))</f>
        <v/>
      </c>
      <c r="B1223" t="str">
        <f>IF(livegame!$V$21,"",IF(livegame!$T$20,B1223,A1223))</f>
        <v/>
      </c>
    </row>
    <row r="1224" spans="1:2">
      <c r="A1224" t="str">
        <f>IF(livegame!$V$21,"",IF(A1224&lt;&gt;"",A1224,IF(AND(livegame!$T$20,livegame!$U$20&lt;&gt;"",B1224="",B1223&lt;&gt;""),livegame!$U$20,"")))</f>
        <v/>
      </c>
      <c r="B1224" t="str">
        <f>IF(livegame!$V$21,"",IF(livegame!$T$20,B1224,A1224))</f>
        <v/>
      </c>
    </row>
    <row r="1225" spans="1:2">
      <c r="A1225" t="str">
        <f>IF(livegame!$V$21,"",IF(A1225&lt;&gt;"",A1225,IF(AND(livegame!$T$20,livegame!$U$20&lt;&gt;"",B1225="",B1224&lt;&gt;""),livegame!$U$20,"")))</f>
        <v/>
      </c>
      <c r="B1225" t="str">
        <f>IF(livegame!$V$21,"",IF(livegame!$T$20,B1225,A1225))</f>
        <v/>
      </c>
    </row>
    <row r="1226" spans="1:2">
      <c r="A1226" t="str">
        <f>IF(livegame!$V$21,"",IF(A1226&lt;&gt;"",A1226,IF(AND(livegame!$T$20,livegame!$U$20&lt;&gt;"",B1226="",B1225&lt;&gt;""),livegame!$U$20,"")))</f>
        <v/>
      </c>
      <c r="B1226" t="str">
        <f>IF(livegame!$V$21,"",IF(livegame!$T$20,B1226,A1226))</f>
        <v/>
      </c>
    </row>
    <row r="1227" spans="1:2">
      <c r="A1227" t="str">
        <f>IF(livegame!$V$21,"",IF(A1227&lt;&gt;"",A1227,IF(AND(livegame!$T$20,livegame!$U$20&lt;&gt;"",B1227="",B1226&lt;&gt;""),livegame!$U$20,"")))</f>
        <v/>
      </c>
      <c r="B1227" t="str">
        <f>IF(livegame!$V$21,"",IF(livegame!$T$20,B1227,A1227))</f>
        <v/>
      </c>
    </row>
    <row r="1228" spans="1:2">
      <c r="A1228" t="str">
        <f>IF(livegame!$V$21,"",IF(A1228&lt;&gt;"",A1228,IF(AND(livegame!$T$20,livegame!$U$20&lt;&gt;"",B1228="",B1227&lt;&gt;""),livegame!$U$20,"")))</f>
        <v/>
      </c>
      <c r="B1228" t="str">
        <f>IF(livegame!$V$21,"",IF(livegame!$T$20,B1228,A1228))</f>
        <v/>
      </c>
    </row>
    <row r="1229" spans="1:2">
      <c r="A1229" t="str">
        <f>IF(livegame!$V$21,"",IF(A1229&lt;&gt;"",A1229,IF(AND(livegame!$T$20,livegame!$U$20&lt;&gt;"",B1229="",B1228&lt;&gt;""),livegame!$U$20,"")))</f>
        <v/>
      </c>
      <c r="B1229" t="str">
        <f>IF(livegame!$V$21,"",IF(livegame!$T$20,B1229,A1229))</f>
        <v/>
      </c>
    </row>
    <row r="1230" spans="1:2">
      <c r="A1230" t="str">
        <f>IF(livegame!$V$21,"",IF(A1230&lt;&gt;"",A1230,IF(AND(livegame!$T$20,livegame!$U$20&lt;&gt;"",B1230="",B1229&lt;&gt;""),livegame!$U$20,"")))</f>
        <v/>
      </c>
      <c r="B1230" t="str">
        <f>IF(livegame!$V$21,"",IF(livegame!$T$20,B1230,A1230))</f>
        <v/>
      </c>
    </row>
    <row r="1231" spans="1:2">
      <c r="A1231" t="str">
        <f>IF(livegame!$V$21,"",IF(A1231&lt;&gt;"",A1231,IF(AND(livegame!$T$20,livegame!$U$20&lt;&gt;"",B1231="",B1230&lt;&gt;""),livegame!$U$20,"")))</f>
        <v/>
      </c>
      <c r="B1231" t="str">
        <f>IF(livegame!$V$21,"",IF(livegame!$T$20,B1231,A1231))</f>
        <v/>
      </c>
    </row>
    <row r="1232" spans="1:2">
      <c r="A1232" t="str">
        <f>IF(livegame!$V$21,"",IF(A1232&lt;&gt;"",A1232,IF(AND(livegame!$T$20,livegame!$U$20&lt;&gt;"",B1232="",B1231&lt;&gt;""),livegame!$U$20,"")))</f>
        <v/>
      </c>
      <c r="B1232" t="str">
        <f>IF(livegame!$V$21,"",IF(livegame!$T$20,B1232,A1232))</f>
        <v/>
      </c>
    </row>
    <row r="1233" spans="1:2">
      <c r="A1233" t="str">
        <f>IF(livegame!$V$21,"",IF(A1233&lt;&gt;"",A1233,IF(AND(livegame!$T$20,livegame!$U$20&lt;&gt;"",B1233="",B1232&lt;&gt;""),livegame!$U$20,"")))</f>
        <v/>
      </c>
      <c r="B1233" t="str">
        <f>IF(livegame!$V$21,"",IF(livegame!$T$20,B1233,A1233))</f>
        <v/>
      </c>
    </row>
    <row r="1234" spans="1:2">
      <c r="A1234" t="str">
        <f>IF(livegame!$V$21,"",IF(A1234&lt;&gt;"",A1234,IF(AND(livegame!$T$20,livegame!$U$20&lt;&gt;"",B1234="",B1233&lt;&gt;""),livegame!$U$20,"")))</f>
        <v/>
      </c>
      <c r="B1234" t="str">
        <f>IF(livegame!$V$21,"",IF(livegame!$T$20,B1234,A1234))</f>
        <v/>
      </c>
    </row>
    <row r="1235" spans="1:2">
      <c r="A1235" t="str">
        <f>IF(livegame!$V$21,"",IF(A1235&lt;&gt;"",A1235,IF(AND(livegame!$T$20,livegame!$U$20&lt;&gt;"",B1235="",B1234&lt;&gt;""),livegame!$U$20,"")))</f>
        <v/>
      </c>
      <c r="B1235" t="str">
        <f>IF(livegame!$V$21,"",IF(livegame!$T$20,B1235,A1235))</f>
        <v/>
      </c>
    </row>
    <row r="1236" spans="1:2">
      <c r="A1236" t="str">
        <f>IF(livegame!$V$21,"",IF(A1236&lt;&gt;"",A1236,IF(AND(livegame!$T$20,livegame!$U$20&lt;&gt;"",B1236="",B1235&lt;&gt;""),livegame!$U$20,"")))</f>
        <v/>
      </c>
      <c r="B1236" t="str">
        <f>IF(livegame!$V$21,"",IF(livegame!$T$20,B1236,A1236))</f>
        <v/>
      </c>
    </row>
    <row r="1237" spans="1:2">
      <c r="A1237" t="str">
        <f>IF(livegame!$V$21,"",IF(A1237&lt;&gt;"",A1237,IF(AND(livegame!$T$20,livegame!$U$20&lt;&gt;"",B1237="",B1236&lt;&gt;""),livegame!$U$20,"")))</f>
        <v/>
      </c>
      <c r="B1237" t="str">
        <f>IF(livegame!$V$21,"",IF(livegame!$T$20,B1237,A1237))</f>
        <v/>
      </c>
    </row>
    <row r="1238" spans="1:2">
      <c r="A1238" t="str">
        <f>IF(livegame!$V$21,"",IF(A1238&lt;&gt;"",A1238,IF(AND(livegame!$T$20,livegame!$U$20&lt;&gt;"",B1238="",B1237&lt;&gt;""),livegame!$U$20,"")))</f>
        <v/>
      </c>
      <c r="B1238" t="str">
        <f>IF(livegame!$V$21,"",IF(livegame!$T$20,B1238,A1238))</f>
        <v/>
      </c>
    </row>
    <row r="1239" spans="1:2">
      <c r="A1239" t="str">
        <f>IF(livegame!$V$21,"",IF(A1239&lt;&gt;"",A1239,IF(AND(livegame!$T$20,livegame!$U$20&lt;&gt;"",B1239="",B1238&lt;&gt;""),livegame!$U$20,"")))</f>
        <v/>
      </c>
      <c r="B1239" t="str">
        <f>IF(livegame!$V$21,"",IF(livegame!$T$20,B1239,A1239))</f>
        <v/>
      </c>
    </row>
    <row r="1240" spans="1:2">
      <c r="A1240" t="str">
        <f>IF(livegame!$V$21,"",IF(A1240&lt;&gt;"",A1240,IF(AND(livegame!$T$20,livegame!$U$20&lt;&gt;"",B1240="",B1239&lt;&gt;""),livegame!$U$20,"")))</f>
        <v/>
      </c>
      <c r="B1240" t="str">
        <f>IF(livegame!$V$21,"",IF(livegame!$T$20,B1240,A1240))</f>
        <v/>
      </c>
    </row>
    <row r="1241" spans="1:2">
      <c r="A1241" t="str">
        <f>IF(livegame!$V$21,"",IF(A1241&lt;&gt;"",A1241,IF(AND(livegame!$T$20,livegame!$U$20&lt;&gt;"",B1241="",B1240&lt;&gt;""),livegame!$U$20,"")))</f>
        <v/>
      </c>
      <c r="B1241" t="str">
        <f>IF(livegame!$V$21,"",IF(livegame!$T$20,B1241,A1241))</f>
        <v/>
      </c>
    </row>
    <row r="1242" spans="1:2">
      <c r="A1242" t="str">
        <f>IF(livegame!$V$21,"",IF(A1242&lt;&gt;"",A1242,IF(AND(livegame!$T$20,livegame!$U$20&lt;&gt;"",B1242="",B1241&lt;&gt;""),livegame!$U$20,"")))</f>
        <v/>
      </c>
      <c r="B1242" t="str">
        <f>IF(livegame!$V$21,"",IF(livegame!$T$20,B1242,A1242))</f>
        <v/>
      </c>
    </row>
    <row r="1243" spans="1:2">
      <c r="A1243" t="str">
        <f>IF(livegame!$V$21,"",IF(A1243&lt;&gt;"",A1243,IF(AND(livegame!$T$20,livegame!$U$20&lt;&gt;"",B1243="",B1242&lt;&gt;""),livegame!$U$20,"")))</f>
        <v/>
      </c>
      <c r="B1243" t="str">
        <f>IF(livegame!$V$21,"",IF(livegame!$T$20,B1243,A1243))</f>
        <v/>
      </c>
    </row>
    <row r="1244" spans="1:2">
      <c r="A1244" t="str">
        <f>IF(livegame!$V$21,"",IF(A1244&lt;&gt;"",A1244,IF(AND(livegame!$T$20,livegame!$U$20&lt;&gt;"",B1244="",B1243&lt;&gt;""),livegame!$U$20,"")))</f>
        <v/>
      </c>
      <c r="B1244" t="str">
        <f>IF(livegame!$V$21,"",IF(livegame!$T$20,B1244,A1244))</f>
        <v/>
      </c>
    </row>
    <row r="1245" spans="1:2">
      <c r="A1245" t="str">
        <f>IF(livegame!$V$21,"",IF(A1245&lt;&gt;"",A1245,IF(AND(livegame!$T$20,livegame!$U$20&lt;&gt;"",B1245="",B1244&lt;&gt;""),livegame!$U$20,"")))</f>
        <v/>
      </c>
      <c r="B1245" t="str">
        <f>IF(livegame!$V$21,"",IF(livegame!$T$20,B1245,A1245))</f>
        <v/>
      </c>
    </row>
    <row r="1246" spans="1:2">
      <c r="A1246" t="str">
        <f>IF(livegame!$V$21,"",IF(A1246&lt;&gt;"",A1246,IF(AND(livegame!$T$20,livegame!$U$20&lt;&gt;"",B1246="",B1245&lt;&gt;""),livegame!$U$20,"")))</f>
        <v/>
      </c>
      <c r="B1246" t="str">
        <f>IF(livegame!$V$21,"",IF(livegame!$T$20,B1246,A1246))</f>
        <v/>
      </c>
    </row>
    <row r="1247" spans="1:2">
      <c r="A1247" t="str">
        <f>IF(livegame!$V$21,"",IF(A1247&lt;&gt;"",A1247,IF(AND(livegame!$T$20,livegame!$U$20&lt;&gt;"",B1247="",B1246&lt;&gt;""),livegame!$U$20,"")))</f>
        <v/>
      </c>
      <c r="B1247" t="str">
        <f>IF(livegame!$V$21,"",IF(livegame!$T$20,B1247,A1247))</f>
        <v/>
      </c>
    </row>
    <row r="1248" spans="1:2">
      <c r="A1248" t="str">
        <f>IF(livegame!$V$21,"",IF(A1248&lt;&gt;"",A1248,IF(AND(livegame!$T$20,livegame!$U$20&lt;&gt;"",B1248="",B1247&lt;&gt;""),livegame!$U$20,"")))</f>
        <v/>
      </c>
      <c r="B1248" t="str">
        <f>IF(livegame!$V$21,"",IF(livegame!$T$20,B1248,A1248))</f>
        <v/>
      </c>
    </row>
    <row r="1249" spans="1:2">
      <c r="A1249" t="str">
        <f>IF(livegame!$V$21,"",IF(A1249&lt;&gt;"",A1249,IF(AND(livegame!$T$20,livegame!$U$20&lt;&gt;"",B1249="",B1248&lt;&gt;""),livegame!$U$20,"")))</f>
        <v/>
      </c>
      <c r="B1249" t="str">
        <f>IF(livegame!$V$21,"",IF(livegame!$T$20,B1249,A1249))</f>
        <v/>
      </c>
    </row>
    <row r="1250" spans="1:2">
      <c r="A1250" t="str">
        <f>IF(livegame!$V$21,"",IF(A1250&lt;&gt;"",A1250,IF(AND(livegame!$T$20,livegame!$U$20&lt;&gt;"",B1250="",B1249&lt;&gt;""),livegame!$U$20,"")))</f>
        <v/>
      </c>
      <c r="B1250" t="str">
        <f>IF(livegame!$V$21,"",IF(livegame!$T$20,B1250,A1250))</f>
        <v/>
      </c>
    </row>
    <row r="1251" spans="1:2">
      <c r="A1251" t="str">
        <f>IF(livegame!$V$21,"",IF(A1251&lt;&gt;"",A1251,IF(AND(livegame!$T$20,livegame!$U$20&lt;&gt;"",B1251="",B1250&lt;&gt;""),livegame!$U$20,"")))</f>
        <v/>
      </c>
      <c r="B1251" t="str">
        <f>IF(livegame!$V$21,"",IF(livegame!$T$20,B1251,A1251))</f>
        <v/>
      </c>
    </row>
    <row r="1252" spans="1:2">
      <c r="A1252" t="str">
        <f>IF(livegame!$V$21,"",IF(A1252&lt;&gt;"",A1252,IF(AND(livegame!$T$20,livegame!$U$20&lt;&gt;"",B1252="",B1251&lt;&gt;""),livegame!$U$20,"")))</f>
        <v/>
      </c>
      <c r="B1252" t="str">
        <f>IF(livegame!$V$21,"",IF(livegame!$T$20,B1252,A1252))</f>
        <v/>
      </c>
    </row>
    <row r="1253" spans="1:2">
      <c r="A1253" t="str">
        <f>IF(livegame!$V$21,"",IF(A1253&lt;&gt;"",A1253,IF(AND(livegame!$T$20,livegame!$U$20&lt;&gt;"",B1253="",B1252&lt;&gt;""),livegame!$U$20,"")))</f>
        <v/>
      </c>
      <c r="B1253" t="str">
        <f>IF(livegame!$V$21,"",IF(livegame!$T$20,B1253,A1253))</f>
        <v/>
      </c>
    </row>
    <row r="1254" spans="1:2">
      <c r="A1254" t="str">
        <f>IF(livegame!$V$21,"",IF(A1254&lt;&gt;"",A1254,IF(AND(livegame!$T$20,livegame!$U$20&lt;&gt;"",B1254="",B1253&lt;&gt;""),livegame!$U$20,"")))</f>
        <v/>
      </c>
      <c r="B1254" t="str">
        <f>IF(livegame!$V$21,"",IF(livegame!$T$20,B1254,A1254))</f>
        <v/>
      </c>
    </row>
    <row r="1255" spans="1:2">
      <c r="A1255" t="str">
        <f>IF(livegame!$V$21,"",IF(A1255&lt;&gt;"",A1255,IF(AND(livegame!$T$20,livegame!$U$20&lt;&gt;"",B1255="",B1254&lt;&gt;""),livegame!$U$20,"")))</f>
        <v/>
      </c>
      <c r="B1255" t="str">
        <f>IF(livegame!$V$21,"",IF(livegame!$T$20,B1255,A1255))</f>
        <v/>
      </c>
    </row>
    <row r="1256" spans="1:2">
      <c r="A1256" t="str">
        <f>IF(livegame!$V$21,"",IF(A1256&lt;&gt;"",A1256,IF(AND(livegame!$T$20,livegame!$U$20&lt;&gt;"",B1256="",B1255&lt;&gt;""),livegame!$U$20,"")))</f>
        <v/>
      </c>
      <c r="B1256" t="str">
        <f>IF(livegame!$V$21,"",IF(livegame!$T$20,B1256,A1256))</f>
        <v/>
      </c>
    </row>
    <row r="1257" spans="1:2">
      <c r="A1257" t="str">
        <f>IF(livegame!$V$21,"",IF(A1257&lt;&gt;"",A1257,IF(AND(livegame!$T$20,livegame!$U$20&lt;&gt;"",B1257="",B1256&lt;&gt;""),livegame!$U$20,"")))</f>
        <v/>
      </c>
      <c r="B1257" t="str">
        <f>IF(livegame!$V$21,"",IF(livegame!$T$20,B1257,A1257))</f>
        <v/>
      </c>
    </row>
    <row r="1258" spans="1:2">
      <c r="A1258" t="str">
        <f>IF(livegame!$V$21,"",IF(A1258&lt;&gt;"",A1258,IF(AND(livegame!$T$20,livegame!$U$20&lt;&gt;"",B1258="",B1257&lt;&gt;""),livegame!$U$20,"")))</f>
        <v/>
      </c>
      <c r="B1258" t="str">
        <f>IF(livegame!$V$21,"",IF(livegame!$T$20,B1258,A1258))</f>
        <v/>
      </c>
    </row>
    <row r="1259" spans="1:2">
      <c r="A1259" t="str">
        <f>IF(livegame!$V$21,"",IF(A1259&lt;&gt;"",A1259,IF(AND(livegame!$T$20,livegame!$U$20&lt;&gt;"",B1259="",B1258&lt;&gt;""),livegame!$U$20,"")))</f>
        <v/>
      </c>
      <c r="B1259" t="str">
        <f>IF(livegame!$V$21,"",IF(livegame!$T$20,B1259,A1259))</f>
        <v/>
      </c>
    </row>
    <row r="1260" spans="1:2">
      <c r="A1260" t="str">
        <f>IF(livegame!$V$21,"",IF(A1260&lt;&gt;"",A1260,IF(AND(livegame!$T$20,livegame!$U$20&lt;&gt;"",B1260="",B1259&lt;&gt;""),livegame!$U$20,"")))</f>
        <v/>
      </c>
      <c r="B1260" t="str">
        <f>IF(livegame!$V$21,"",IF(livegame!$T$20,B1260,A1260))</f>
        <v/>
      </c>
    </row>
    <row r="1261" spans="1:2">
      <c r="A1261" t="str">
        <f>IF(livegame!$V$21,"",IF(A1261&lt;&gt;"",A1261,IF(AND(livegame!$T$20,livegame!$U$20&lt;&gt;"",B1261="",B1260&lt;&gt;""),livegame!$U$20,"")))</f>
        <v/>
      </c>
      <c r="B1261" t="str">
        <f>IF(livegame!$V$21,"",IF(livegame!$T$20,B1261,A1261))</f>
        <v/>
      </c>
    </row>
    <row r="1262" spans="1:2">
      <c r="A1262" t="str">
        <f>IF(livegame!$V$21,"",IF(A1262&lt;&gt;"",A1262,IF(AND(livegame!$T$20,livegame!$U$20&lt;&gt;"",B1262="",B1261&lt;&gt;""),livegame!$U$20,"")))</f>
        <v/>
      </c>
      <c r="B1262" t="str">
        <f>IF(livegame!$V$21,"",IF(livegame!$T$20,B1262,A1262))</f>
        <v/>
      </c>
    </row>
    <row r="1263" spans="1:2">
      <c r="A1263" t="str">
        <f>IF(livegame!$V$21,"",IF(A1263&lt;&gt;"",A1263,IF(AND(livegame!$T$20,livegame!$U$20&lt;&gt;"",B1263="",B1262&lt;&gt;""),livegame!$U$20,"")))</f>
        <v/>
      </c>
      <c r="B1263" t="str">
        <f>IF(livegame!$V$21,"",IF(livegame!$T$20,B1263,A1263))</f>
        <v/>
      </c>
    </row>
    <row r="1264" spans="1:2">
      <c r="A1264" t="str">
        <f>IF(livegame!$V$21,"",IF(A1264&lt;&gt;"",A1264,IF(AND(livegame!$T$20,livegame!$U$20&lt;&gt;"",B1264="",B1263&lt;&gt;""),livegame!$U$20,"")))</f>
        <v/>
      </c>
      <c r="B1264" t="str">
        <f>IF(livegame!$V$21,"",IF(livegame!$T$20,B1264,A1264))</f>
        <v/>
      </c>
    </row>
    <row r="1265" spans="1:2">
      <c r="A1265" t="str">
        <f>IF(livegame!$V$21,"",IF(A1265&lt;&gt;"",A1265,IF(AND(livegame!$T$20,livegame!$U$20&lt;&gt;"",B1265="",B1264&lt;&gt;""),livegame!$U$20,"")))</f>
        <v/>
      </c>
      <c r="B1265" t="str">
        <f>IF(livegame!$V$21,"",IF(livegame!$T$20,B1265,A1265))</f>
        <v/>
      </c>
    </row>
    <row r="1266" spans="1:2">
      <c r="A1266" t="str">
        <f>IF(livegame!$V$21,"",IF(A1266&lt;&gt;"",A1266,IF(AND(livegame!$T$20,livegame!$U$20&lt;&gt;"",B1266="",B1265&lt;&gt;""),livegame!$U$20,"")))</f>
        <v/>
      </c>
      <c r="B1266" t="str">
        <f>IF(livegame!$V$21,"",IF(livegame!$T$20,B1266,A1266))</f>
        <v/>
      </c>
    </row>
    <row r="1267" spans="1:2">
      <c r="A1267" t="str">
        <f>IF(livegame!$V$21,"",IF(A1267&lt;&gt;"",A1267,IF(AND(livegame!$T$20,livegame!$U$20&lt;&gt;"",B1267="",B1266&lt;&gt;""),livegame!$U$20,"")))</f>
        <v/>
      </c>
      <c r="B1267" t="str">
        <f>IF(livegame!$V$21,"",IF(livegame!$T$20,B1267,A1267))</f>
        <v/>
      </c>
    </row>
    <row r="1268" spans="1:2">
      <c r="A1268" t="str">
        <f>IF(livegame!$V$21,"",IF(A1268&lt;&gt;"",A1268,IF(AND(livegame!$T$20,livegame!$U$20&lt;&gt;"",B1268="",B1267&lt;&gt;""),livegame!$U$20,"")))</f>
        <v/>
      </c>
      <c r="B1268" t="str">
        <f>IF(livegame!$V$21,"",IF(livegame!$T$20,B1268,A1268))</f>
        <v/>
      </c>
    </row>
    <row r="1269" spans="1:2">
      <c r="A1269" t="str">
        <f>IF(livegame!$V$21,"",IF(A1269&lt;&gt;"",A1269,IF(AND(livegame!$T$20,livegame!$U$20&lt;&gt;"",B1269="",B1268&lt;&gt;""),livegame!$U$20,"")))</f>
        <v/>
      </c>
      <c r="B1269" t="str">
        <f>IF(livegame!$V$21,"",IF(livegame!$T$20,B1269,A1269))</f>
        <v/>
      </c>
    </row>
    <row r="1270" spans="1:2">
      <c r="A1270" t="str">
        <f>IF(livegame!$V$21,"",IF(A1270&lt;&gt;"",A1270,IF(AND(livegame!$T$20,livegame!$U$20&lt;&gt;"",B1270="",B1269&lt;&gt;""),livegame!$U$20,"")))</f>
        <v/>
      </c>
      <c r="B1270" t="str">
        <f>IF(livegame!$V$21,"",IF(livegame!$T$20,B1270,A1270))</f>
        <v/>
      </c>
    </row>
    <row r="1271" spans="1:2">
      <c r="A1271" t="str">
        <f>IF(livegame!$V$21,"",IF(A1271&lt;&gt;"",A1271,IF(AND(livegame!$T$20,livegame!$U$20&lt;&gt;"",B1271="",B1270&lt;&gt;""),livegame!$U$20,"")))</f>
        <v/>
      </c>
      <c r="B1271" t="str">
        <f>IF(livegame!$V$21,"",IF(livegame!$T$20,B1271,A1271))</f>
        <v/>
      </c>
    </row>
    <row r="1272" spans="1:2">
      <c r="A1272" t="str">
        <f>IF(livegame!$V$21,"",IF(A1272&lt;&gt;"",A1272,IF(AND(livegame!$T$20,livegame!$U$20&lt;&gt;"",B1272="",B1271&lt;&gt;""),livegame!$U$20,"")))</f>
        <v/>
      </c>
      <c r="B1272" t="str">
        <f>IF(livegame!$V$21,"",IF(livegame!$T$20,B1272,A1272))</f>
        <v/>
      </c>
    </row>
    <row r="1273" spans="1:2">
      <c r="A1273" t="str">
        <f>IF(livegame!$V$21,"",IF(A1273&lt;&gt;"",A1273,IF(AND(livegame!$T$20,livegame!$U$20&lt;&gt;"",B1273="",B1272&lt;&gt;""),livegame!$U$20,"")))</f>
        <v/>
      </c>
      <c r="B1273" t="str">
        <f>IF(livegame!$V$21,"",IF(livegame!$T$20,B1273,A1273))</f>
        <v/>
      </c>
    </row>
    <row r="1274" spans="1:2">
      <c r="A1274" t="str">
        <f>IF(livegame!$V$21,"",IF(A1274&lt;&gt;"",A1274,IF(AND(livegame!$T$20,livegame!$U$20&lt;&gt;"",B1274="",B1273&lt;&gt;""),livegame!$U$20,"")))</f>
        <v/>
      </c>
      <c r="B1274" t="str">
        <f>IF(livegame!$V$21,"",IF(livegame!$T$20,B1274,A1274))</f>
        <v/>
      </c>
    </row>
    <row r="1275" spans="1:2">
      <c r="A1275" t="str">
        <f>IF(livegame!$V$21,"",IF(A1275&lt;&gt;"",A1275,IF(AND(livegame!$T$20,livegame!$U$20&lt;&gt;"",B1275="",B1274&lt;&gt;""),livegame!$U$20,"")))</f>
        <v/>
      </c>
      <c r="B1275" t="str">
        <f>IF(livegame!$V$21,"",IF(livegame!$T$20,B1275,A1275))</f>
        <v/>
      </c>
    </row>
    <row r="1276" spans="1:2">
      <c r="A1276" t="str">
        <f>IF(livegame!$V$21,"",IF(A1276&lt;&gt;"",A1276,IF(AND(livegame!$T$20,livegame!$U$20&lt;&gt;"",B1276="",B1275&lt;&gt;""),livegame!$U$20,"")))</f>
        <v/>
      </c>
      <c r="B1276" t="str">
        <f>IF(livegame!$V$21,"",IF(livegame!$T$20,B1276,A1276))</f>
        <v/>
      </c>
    </row>
    <row r="1277" spans="1:2">
      <c r="A1277" t="str">
        <f>IF(livegame!$V$21,"",IF(A1277&lt;&gt;"",A1277,IF(AND(livegame!$T$20,livegame!$U$20&lt;&gt;"",B1277="",B1276&lt;&gt;""),livegame!$U$20,"")))</f>
        <v/>
      </c>
      <c r="B1277" t="str">
        <f>IF(livegame!$V$21,"",IF(livegame!$T$20,B1277,A1277))</f>
        <v/>
      </c>
    </row>
    <row r="1278" spans="1:2">
      <c r="A1278" t="str">
        <f>IF(livegame!$V$21,"",IF(A1278&lt;&gt;"",A1278,IF(AND(livegame!$T$20,livegame!$U$20&lt;&gt;"",B1278="",B1277&lt;&gt;""),livegame!$U$20,"")))</f>
        <v/>
      </c>
      <c r="B1278" t="str">
        <f>IF(livegame!$V$21,"",IF(livegame!$T$20,B1278,A1278))</f>
        <v/>
      </c>
    </row>
    <row r="1279" spans="1:2">
      <c r="A1279" t="str">
        <f>IF(livegame!$V$21,"",IF(A1279&lt;&gt;"",A1279,IF(AND(livegame!$T$20,livegame!$U$20&lt;&gt;"",B1279="",B1278&lt;&gt;""),livegame!$U$20,"")))</f>
        <v/>
      </c>
      <c r="B1279" t="str">
        <f>IF(livegame!$V$21,"",IF(livegame!$T$20,B1279,A1279))</f>
        <v/>
      </c>
    </row>
    <row r="1280" spans="1:2">
      <c r="A1280" t="str">
        <f>IF(livegame!$V$21,"",IF(A1280&lt;&gt;"",A1280,IF(AND(livegame!$T$20,livegame!$U$20&lt;&gt;"",B1280="",B1279&lt;&gt;""),livegame!$U$20,"")))</f>
        <v/>
      </c>
      <c r="B1280" t="str">
        <f>IF(livegame!$V$21,"",IF(livegame!$T$20,B1280,A1280))</f>
        <v/>
      </c>
    </row>
    <row r="1281" spans="1:2">
      <c r="A1281" t="str">
        <f>IF(livegame!$V$21,"",IF(A1281&lt;&gt;"",A1281,IF(AND(livegame!$T$20,livegame!$U$20&lt;&gt;"",B1281="",B1280&lt;&gt;""),livegame!$U$20,"")))</f>
        <v/>
      </c>
      <c r="B1281" t="str">
        <f>IF(livegame!$V$21,"",IF(livegame!$T$20,B1281,A1281))</f>
        <v/>
      </c>
    </row>
    <row r="1282" spans="1:2">
      <c r="A1282" t="str">
        <f>IF(livegame!$V$21,"",IF(A1282&lt;&gt;"",A1282,IF(AND(livegame!$T$20,livegame!$U$20&lt;&gt;"",B1282="",B1281&lt;&gt;""),livegame!$U$20,"")))</f>
        <v/>
      </c>
      <c r="B1282" t="str">
        <f>IF(livegame!$V$21,"",IF(livegame!$T$20,B1282,A1282))</f>
        <v/>
      </c>
    </row>
    <row r="1283" spans="1:2">
      <c r="A1283" t="str">
        <f>IF(livegame!$V$21,"",IF(A1283&lt;&gt;"",A1283,IF(AND(livegame!$T$20,livegame!$U$20&lt;&gt;"",B1283="",B1282&lt;&gt;""),livegame!$U$20,"")))</f>
        <v/>
      </c>
      <c r="B1283" t="str">
        <f>IF(livegame!$V$21,"",IF(livegame!$T$20,B1283,A1283))</f>
        <v/>
      </c>
    </row>
    <row r="1284" spans="1:2">
      <c r="A1284" t="str">
        <f>IF(livegame!$V$21,"",IF(A1284&lt;&gt;"",A1284,IF(AND(livegame!$T$20,livegame!$U$20&lt;&gt;"",B1284="",B1283&lt;&gt;""),livegame!$U$20,"")))</f>
        <v/>
      </c>
      <c r="B1284" t="str">
        <f>IF(livegame!$V$21,"",IF(livegame!$T$20,B1284,A1284))</f>
        <v/>
      </c>
    </row>
    <row r="1285" spans="1:2">
      <c r="A1285" t="str">
        <f>IF(livegame!$V$21,"",IF(A1285&lt;&gt;"",A1285,IF(AND(livegame!$T$20,livegame!$U$20&lt;&gt;"",B1285="",B1284&lt;&gt;""),livegame!$U$20,"")))</f>
        <v/>
      </c>
      <c r="B1285" t="str">
        <f>IF(livegame!$V$21,"",IF(livegame!$T$20,B1285,A1285))</f>
        <v/>
      </c>
    </row>
    <row r="1286" spans="1:2">
      <c r="A1286" t="str">
        <f>IF(livegame!$V$21,"",IF(A1286&lt;&gt;"",A1286,IF(AND(livegame!$T$20,livegame!$U$20&lt;&gt;"",B1286="",B1285&lt;&gt;""),livegame!$U$20,"")))</f>
        <v/>
      </c>
      <c r="B1286" t="str">
        <f>IF(livegame!$V$21,"",IF(livegame!$T$20,B1286,A1286))</f>
        <v/>
      </c>
    </row>
    <row r="1287" spans="1:2">
      <c r="A1287" t="str">
        <f>IF(livegame!$V$21,"",IF(A1287&lt;&gt;"",A1287,IF(AND(livegame!$T$20,livegame!$U$20&lt;&gt;"",B1287="",B1286&lt;&gt;""),livegame!$U$20,"")))</f>
        <v/>
      </c>
      <c r="B1287" t="str">
        <f>IF(livegame!$V$21,"",IF(livegame!$T$20,B1287,A1287))</f>
        <v/>
      </c>
    </row>
    <row r="1288" spans="1:2">
      <c r="A1288" t="str">
        <f>IF(livegame!$V$21,"",IF(A1288&lt;&gt;"",A1288,IF(AND(livegame!$T$20,livegame!$U$20&lt;&gt;"",B1288="",B1287&lt;&gt;""),livegame!$U$20,"")))</f>
        <v/>
      </c>
      <c r="B1288" t="str">
        <f>IF(livegame!$V$21,"",IF(livegame!$T$20,B1288,A1288))</f>
        <v/>
      </c>
    </row>
    <row r="1289" spans="1:2">
      <c r="A1289" t="str">
        <f>IF(livegame!$V$21,"",IF(A1289&lt;&gt;"",A1289,IF(AND(livegame!$T$20,livegame!$U$20&lt;&gt;"",B1289="",B1288&lt;&gt;""),livegame!$U$20,"")))</f>
        <v/>
      </c>
      <c r="B1289" t="str">
        <f>IF(livegame!$V$21,"",IF(livegame!$T$20,B1289,A1289))</f>
        <v/>
      </c>
    </row>
    <row r="1290" spans="1:2">
      <c r="A1290" t="str">
        <f>IF(livegame!$V$21,"",IF(A1290&lt;&gt;"",A1290,IF(AND(livegame!$T$20,livegame!$U$20&lt;&gt;"",B1290="",B1289&lt;&gt;""),livegame!$U$20,"")))</f>
        <v/>
      </c>
      <c r="B1290" t="str">
        <f>IF(livegame!$V$21,"",IF(livegame!$T$20,B1290,A1290))</f>
        <v/>
      </c>
    </row>
    <row r="1291" spans="1:2">
      <c r="A1291" t="str">
        <f>IF(livegame!$V$21,"",IF(A1291&lt;&gt;"",A1291,IF(AND(livegame!$T$20,livegame!$U$20&lt;&gt;"",B1291="",B1290&lt;&gt;""),livegame!$U$20,"")))</f>
        <v/>
      </c>
      <c r="B1291" t="str">
        <f>IF(livegame!$V$21,"",IF(livegame!$T$20,B1291,A1291))</f>
        <v/>
      </c>
    </row>
    <row r="1292" spans="1:2">
      <c r="A1292" t="str">
        <f>IF(livegame!$V$21,"",IF(A1292&lt;&gt;"",A1292,IF(AND(livegame!$T$20,livegame!$U$20&lt;&gt;"",B1292="",B1291&lt;&gt;""),livegame!$U$20,"")))</f>
        <v/>
      </c>
      <c r="B1292" t="str">
        <f>IF(livegame!$V$21,"",IF(livegame!$T$20,B1292,A1292))</f>
        <v/>
      </c>
    </row>
    <row r="1293" spans="1:2">
      <c r="A1293" t="str">
        <f>IF(livegame!$V$21,"",IF(A1293&lt;&gt;"",A1293,IF(AND(livegame!$T$20,livegame!$U$20&lt;&gt;"",B1293="",B1292&lt;&gt;""),livegame!$U$20,"")))</f>
        <v/>
      </c>
      <c r="B1293" t="str">
        <f>IF(livegame!$V$21,"",IF(livegame!$T$20,B1293,A1293))</f>
        <v/>
      </c>
    </row>
    <row r="1294" spans="1:2">
      <c r="A1294" t="str">
        <f>IF(livegame!$V$21,"",IF(A1294&lt;&gt;"",A1294,IF(AND(livegame!$T$20,livegame!$U$20&lt;&gt;"",B1294="",B1293&lt;&gt;""),livegame!$U$20,"")))</f>
        <v/>
      </c>
      <c r="B1294" t="str">
        <f>IF(livegame!$V$21,"",IF(livegame!$T$20,B1294,A1294))</f>
        <v/>
      </c>
    </row>
    <row r="1295" spans="1:2">
      <c r="A1295" t="str">
        <f>IF(livegame!$V$21,"",IF(A1295&lt;&gt;"",A1295,IF(AND(livegame!$T$20,livegame!$U$20&lt;&gt;"",B1295="",B1294&lt;&gt;""),livegame!$U$20,"")))</f>
        <v/>
      </c>
      <c r="B1295" t="str">
        <f>IF(livegame!$V$21,"",IF(livegame!$T$20,B1295,A1295))</f>
        <v/>
      </c>
    </row>
    <row r="1296" spans="1:2">
      <c r="A1296" t="str">
        <f>IF(livegame!$V$21,"",IF(A1296&lt;&gt;"",A1296,IF(AND(livegame!$T$20,livegame!$U$20&lt;&gt;"",B1296="",B1295&lt;&gt;""),livegame!$U$20,"")))</f>
        <v/>
      </c>
      <c r="B1296" t="str">
        <f>IF(livegame!$V$21,"",IF(livegame!$T$20,B1296,A1296))</f>
        <v/>
      </c>
    </row>
    <row r="1297" spans="1:2">
      <c r="A1297" t="str">
        <f>IF(livegame!$V$21,"",IF(A1297&lt;&gt;"",A1297,IF(AND(livegame!$T$20,livegame!$U$20&lt;&gt;"",B1297="",B1296&lt;&gt;""),livegame!$U$20,"")))</f>
        <v/>
      </c>
      <c r="B1297" t="str">
        <f>IF(livegame!$V$21,"",IF(livegame!$T$20,B1297,A1297))</f>
        <v/>
      </c>
    </row>
    <row r="1298" spans="1:2">
      <c r="A1298" t="str">
        <f>IF(livegame!$V$21,"",IF(A1298&lt;&gt;"",A1298,IF(AND(livegame!$T$20,livegame!$U$20&lt;&gt;"",B1298="",B1297&lt;&gt;""),livegame!$U$20,"")))</f>
        <v/>
      </c>
      <c r="B1298" t="str">
        <f>IF(livegame!$V$21,"",IF(livegame!$T$20,B1298,A1298))</f>
        <v/>
      </c>
    </row>
    <row r="1299" spans="1:2">
      <c r="A1299" t="str">
        <f>IF(livegame!$V$21,"",IF(A1299&lt;&gt;"",A1299,IF(AND(livegame!$T$20,livegame!$U$20&lt;&gt;"",B1299="",B1298&lt;&gt;""),livegame!$U$20,"")))</f>
        <v/>
      </c>
      <c r="B1299" t="str">
        <f>IF(livegame!$V$21,"",IF(livegame!$T$20,B1299,A1299))</f>
        <v/>
      </c>
    </row>
    <row r="1300" spans="1:2">
      <c r="A1300" t="str">
        <f>IF(livegame!$V$21,"",IF(A1300&lt;&gt;"",A1300,IF(AND(livegame!$T$20,livegame!$U$20&lt;&gt;"",B1300="",B1299&lt;&gt;""),livegame!$U$20,"")))</f>
        <v/>
      </c>
      <c r="B1300" t="str">
        <f>IF(livegame!$V$21,"",IF(livegame!$T$20,B1300,A1300))</f>
        <v/>
      </c>
    </row>
    <row r="1301" spans="1:2">
      <c r="A1301" t="str">
        <f>IF(livegame!$V$21,"",IF(A1301&lt;&gt;"",A1301,IF(AND(livegame!$T$20,livegame!$U$20&lt;&gt;"",B1301="",B1300&lt;&gt;""),livegame!$U$20,"")))</f>
        <v/>
      </c>
      <c r="B1301" t="str">
        <f>IF(livegame!$V$21,"",IF(livegame!$T$20,B1301,A1301))</f>
        <v/>
      </c>
    </row>
    <row r="1302" spans="1:2">
      <c r="A1302" t="str">
        <f>IF(livegame!$V$21,"",IF(A1302&lt;&gt;"",A1302,IF(AND(livegame!$T$20,livegame!$U$20&lt;&gt;"",B1302="",B1301&lt;&gt;""),livegame!$U$20,"")))</f>
        <v/>
      </c>
      <c r="B1302" t="str">
        <f>IF(livegame!$V$21,"",IF(livegame!$T$20,B1302,A1302))</f>
        <v/>
      </c>
    </row>
    <row r="1303" spans="1:2">
      <c r="A1303" t="str">
        <f>IF(livegame!$V$21,"",IF(A1303&lt;&gt;"",A1303,IF(AND(livegame!$T$20,livegame!$U$20&lt;&gt;"",B1303="",B1302&lt;&gt;""),livegame!$U$20,"")))</f>
        <v/>
      </c>
      <c r="B1303" t="str">
        <f>IF(livegame!$V$21,"",IF(livegame!$T$20,B1303,A1303))</f>
        <v/>
      </c>
    </row>
    <row r="1304" spans="1:2">
      <c r="A1304" t="str">
        <f>IF(livegame!$V$21,"",IF(A1304&lt;&gt;"",A1304,IF(AND(livegame!$T$20,livegame!$U$20&lt;&gt;"",B1304="",B1303&lt;&gt;""),livegame!$U$20,"")))</f>
        <v/>
      </c>
      <c r="B1304" t="str">
        <f>IF(livegame!$V$21,"",IF(livegame!$T$20,B1304,A1304))</f>
        <v/>
      </c>
    </row>
    <row r="1305" spans="1:2">
      <c r="A1305" t="str">
        <f>IF(livegame!$V$21,"",IF(A1305&lt;&gt;"",A1305,IF(AND(livegame!$T$20,livegame!$U$20&lt;&gt;"",B1305="",B1304&lt;&gt;""),livegame!$U$20,"")))</f>
        <v/>
      </c>
      <c r="B1305" t="str">
        <f>IF(livegame!$V$21,"",IF(livegame!$T$20,B1305,A1305))</f>
        <v/>
      </c>
    </row>
    <row r="1306" spans="1:2">
      <c r="A1306" t="str">
        <f>IF(livegame!$V$21,"",IF(A1306&lt;&gt;"",A1306,IF(AND(livegame!$T$20,livegame!$U$20&lt;&gt;"",B1306="",B1305&lt;&gt;""),livegame!$U$20,"")))</f>
        <v/>
      </c>
      <c r="B1306" t="str">
        <f>IF(livegame!$V$21,"",IF(livegame!$T$20,B1306,A1306))</f>
        <v/>
      </c>
    </row>
    <row r="1307" spans="1:2">
      <c r="A1307" t="str">
        <f>IF(livegame!$V$21,"",IF(A1307&lt;&gt;"",A1307,IF(AND(livegame!$T$20,livegame!$U$20&lt;&gt;"",B1307="",B1306&lt;&gt;""),livegame!$U$20,"")))</f>
        <v/>
      </c>
      <c r="B1307" t="str">
        <f>IF(livegame!$V$21,"",IF(livegame!$T$20,B1307,A1307))</f>
        <v/>
      </c>
    </row>
    <row r="1308" spans="1:2">
      <c r="A1308" t="str">
        <f>IF(livegame!$V$21,"",IF(A1308&lt;&gt;"",A1308,IF(AND(livegame!$T$20,livegame!$U$20&lt;&gt;"",B1308="",B1307&lt;&gt;""),livegame!$U$20,"")))</f>
        <v/>
      </c>
      <c r="B1308" t="str">
        <f>IF(livegame!$V$21,"",IF(livegame!$T$20,B1308,A1308))</f>
        <v/>
      </c>
    </row>
    <row r="1309" spans="1:2">
      <c r="A1309" t="str">
        <f>IF(livegame!$V$21,"",IF(A1309&lt;&gt;"",A1309,IF(AND(livegame!$T$20,livegame!$U$20&lt;&gt;"",B1309="",B1308&lt;&gt;""),livegame!$U$20,"")))</f>
        <v/>
      </c>
      <c r="B1309" t="str">
        <f>IF(livegame!$V$21,"",IF(livegame!$T$20,B1309,A1309))</f>
        <v/>
      </c>
    </row>
    <row r="1310" spans="1:2">
      <c r="A1310" t="str">
        <f>IF(livegame!$V$21,"",IF(A1310&lt;&gt;"",A1310,IF(AND(livegame!$T$20,livegame!$U$20&lt;&gt;"",B1310="",B1309&lt;&gt;""),livegame!$U$20,"")))</f>
        <v/>
      </c>
      <c r="B1310" t="str">
        <f>IF(livegame!$V$21,"",IF(livegame!$T$20,B1310,A1310))</f>
        <v/>
      </c>
    </row>
    <row r="1311" spans="1:2">
      <c r="A1311" t="str">
        <f>IF(livegame!$V$21,"",IF(A1311&lt;&gt;"",A1311,IF(AND(livegame!$T$20,livegame!$U$20&lt;&gt;"",B1311="",B1310&lt;&gt;""),livegame!$U$20,"")))</f>
        <v/>
      </c>
      <c r="B1311" t="str">
        <f>IF(livegame!$V$21,"",IF(livegame!$T$20,B1311,A1311))</f>
        <v/>
      </c>
    </row>
    <row r="1312" spans="1:2">
      <c r="A1312" t="str">
        <f>IF(livegame!$V$21,"",IF(A1312&lt;&gt;"",A1312,IF(AND(livegame!$T$20,livegame!$U$20&lt;&gt;"",B1312="",B1311&lt;&gt;""),livegame!$U$20,"")))</f>
        <v/>
      </c>
      <c r="B1312" t="str">
        <f>IF(livegame!$V$21,"",IF(livegame!$T$20,B1312,A1312))</f>
        <v/>
      </c>
    </row>
    <row r="1313" spans="1:2">
      <c r="A1313" t="str">
        <f>IF(livegame!$V$21,"",IF(A1313&lt;&gt;"",A1313,IF(AND(livegame!$T$20,livegame!$U$20&lt;&gt;"",B1313="",B1312&lt;&gt;""),livegame!$U$20,"")))</f>
        <v/>
      </c>
      <c r="B1313" t="str">
        <f>IF(livegame!$V$21,"",IF(livegame!$T$20,B1313,A1313))</f>
        <v/>
      </c>
    </row>
    <row r="1314" spans="1:2">
      <c r="A1314" t="str">
        <f>IF(livegame!$V$21,"",IF(A1314&lt;&gt;"",A1314,IF(AND(livegame!$T$20,livegame!$U$20&lt;&gt;"",B1314="",B1313&lt;&gt;""),livegame!$U$20,"")))</f>
        <v/>
      </c>
      <c r="B1314" t="str">
        <f>IF(livegame!$V$21,"",IF(livegame!$T$20,B1314,A1314))</f>
        <v/>
      </c>
    </row>
    <row r="1315" spans="1:2">
      <c r="A1315" t="str">
        <f>IF(livegame!$V$21,"",IF(A1315&lt;&gt;"",A1315,IF(AND(livegame!$T$20,livegame!$U$20&lt;&gt;"",B1315="",B1314&lt;&gt;""),livegame!$U$20,"")))</f>
        <v/>
      </c>
      <c r="B1315" t="str">
        <f>IF(livegame!$V$21,"",IF(livegame!$T$20,B1315,A1315))</f>
        <v/>
      </c>
    </row>
    <row r="1316" spans="1:2">
      <c r="A1316" t="str">
        <f>IF(livegame!$V$21,"",IF(A1316&lt;&gt;"",A1316,IF(AND(livegame!$T$20,livegame!$U$20&lt;&gt;"",B1316="",B1315&lt;&gt;""),livegame!$U$20,"")))</f>
        <v/>
      </c>
      <c r="B1316" t="str">
        <f>IF(livegame!$V$21,"",IF(livegame!$T$20,B1316,A1316))</f>
        <v/>
      </c>
    </row>
    <row r="1317" spans="1:2">
      <c r="A1317" t="str">
        <f>IF(livegame!$V$21,"",IF(A1317&lt;&gt;"",A1317,IF(AND(livegame!$T$20,livegame!$U$20&lt;&gt;"",B1317="",B1316&lt;&gt;""),livegame!$U$20,"")))</f>
        <v/>
      </c>
      <c r="B1317" t="str">
        <f>IF(livegame!$V$21,"",IF(livegame!$T$20,B1317,A1317))</f>
        <v/>
      </c>
    </row>
    <row r="1318" spans="1:2">
      <c r="A1318" t="str">
        <f>IF(livegame!$V$21,"",IF(A1318&lt;&gt;"",A1318,IF(AND(livegame!$T$20,livegame!$U$20&lt;&gt;"",B1318="",B1317&lt;&gt;""),livegame!$U$20,"")))</f>
        <v/>
      </c>
      <c r="B1318" t="str">
        <f>IF(livegame!$V$21,"",IF(livegame!$T$20,B1318,A1318))</f>
        <v/>
      </c>
    </row>
    <row r="1319" spans="1:2">
      <c r="A1319" t="str">
        <f>IF(livegame!$V$21,"",IF(A1319&lt;&gt;"",A1319,IF(AND(livegame!$T$20,livegame!$U$20&lt;&gt;"",B1319="",B1318&lt;&gt;""),livegame!$U$20,"")))</f>
        <v/>
      </c>
      <c r="B1319" t="str">
        <f>IF(livegame!$V$21,"",IF(livegame!$T$20,B1319,A1319))</f>
        <v/>
      </c>
    </row>
    <row r="1320" spans="1:2">
      <c r="A1320" t="str">
        <f>IF(livegame!$V$21,"",IF(A1320&lt;&gt;"",A1320,IF(AND(livegame!$T$20,livegame!$U$20&lt;&gt;"",B1320="",B1319&lt;&gt;""),livegame!$U$20,"")))</f>
        <v/>
      </c>
      <c r="B1320" t="str">
        <f>IF(livegame!$V$21,"",IF(livegame!$T$20,B1320,A1320))</f>
        <v/>
      </c>
    </row>
    <row r="1321" spans="1:2">
      <c r="A1321" t="str">
        <f>IF(livegame!$V$21,"",IF(A1321&lt;&gt;"",A1321,IF(AND(livegame!$T$20,livegame!$U$20&lt;&gt;"",B1321="",B1320&lt;&gt;""),livegame!$U$20,"")))</f>
        <v/>
      </c>
      <c r="B1321" t="str">
        <f>IF(livegame!$V$21,"",IF(livegame!$T$20,B1321,A1321))</f>
        <v/>
      </c>
    </row>
    <row r="1322" spans="1:2">
      <c r="A1322" t="str">
        <f>IF(livegame!$V$21,"",IF(A1322&lt;&gt;"",A1322,IF(AND(livegame!$T$20,livegame!$U$20&lt;&gt;"",B1322="",B1321&lt;&gt;""),livegame!$U$20,"")))</f>
        <v/>
      </c>
      <c r="B1322" t="str">
        <f>IF(livegame!$V$21,"",IF(livegame!$T$20,B1322,A1322))</f>
        <v/>
      </c>
    </row>
    <row r="1323" spans="1:2">
      <c r="A1323" t="str">
        <f>IF(livegame!$V$21,"",IF(A1323&lt;&gt;"",A1323,IF(AND(livegame!$T$20,livegame!$U$20&lt;&gt;"",B1323="",B1322&lt;&gt;""),livegame!$U$20,"")))</f>
        <v/>
      </c>
      <c r="B1323" t="str">
        <f>IF(livegame!$V$21,"",IF(livegame!$T$20,B1323,A1323))</f>
        <v/>
      </c>
    </row>
    <row r="1324" spans="1:2">
      <c r="A1324" t="str">
        <f>IF(livegame!$V$21,"",IF(A1324&lt;&gt;"",A1324,IF(AND(livegame!$T$20,livegame!$U$20&lt;&gt;"",B1324="",B1323&lt;&gt;""),livegame!$U$20,"")))</f>
        <v/>
      </c>
      <c r="B1324" t="str">
        <f>IF(livegame!$V$21,"",IF(livegame!$T$20,B1324,A1324))</f>
        <v/>
      </c>
    </row>
    <row r="1325" spans="1:2">
      <c r="A1325" t="str">
        <f>IF(livegame!$V$21,"",IF(A1325&lt;&gt;"",A1325,IF(AND(livegame!$T$20,livegame!$U$20&lt;&gt;"",B1325="",B1324&lt;&gt;""),livegame!$U$20,"")))</f>
        <v/>
      </c>
      <c r="B1325" t="str">
        <f>IF(livegame!$V$21,"",IF(livegame!$T$20,B1325,A1325))</f>
        <v/>
      </c>
    </row>
    <row r="1326" spans="1:2">
      <c r="A1326" t="str">
        <f>IF(livegame!$V$21,"",IF(A1326&lt;&gt;"",A1326,IF(AND(livegame!$T$20,livegame!$U$20&lt;&gt;"",B1326="",B1325&lt;&gt;""),livegame!$U$20,"")))</f>
        <v/>
      </c>
      <c r="B1326" t="str">
        <f>IF(livegame!$V$21,"",IF(livegame!$T$20,B1326,A1326))</f>
        <v/>
      </c>
    </row>
    <row r="1327" spans="1:2">
      <c r="A1327" t="str">
        <f>IF(livegame!$V$21,"",IF(A1327&lt;&gt;"",A1327,IF(AND(livegame!$T$20,livegame!$U$20&lt;&gt;"",B1327="",B1326&lt;&gt;""),livegame!$U$20,"")))</f>
        <v/>
      </c>
      <c r="B1327" t="str">
        <f>IF(livegame!$V$21,"",IF(livegame!$T$20,B1327,A1327))</f>
        <v/>
      </c>
    </row>
    <row r="1328" spans="1:2">
      <c r="A1328" t="str">
        <f>IF(livegame!$V$21,"",IF(A1328&lt;&gt;"",A1328,IF(AND(livegame!$T$20,livegame!$U$20&lt;&gt;"",B1328="",B1327&lt;&gt;""),livegame!$U$20,"")))</f>
        <v/>
      </c>
      <c r="B1328" t="str">
        <f>IF(livegame!$V$21,"",IF(livegame!$T$20,B1328,A1328))</f>
        <v/>
      </c>
    </row>
    <row r="1329" spans="1:2">
      <c r="A1329" t="str">
        <f>IF(livegame!$V$21,"",IF(A1329&lt;&gt;"",A1329,IF(AND(livegame!$T$20,livegame!$U$20&lt;&gt;"",B1329="",B1328&lt;&gt;""),livegame!$U$20,"")))</f>
        <v/>
      </c>
      <c r="B1329" t="str">
        <f>IF(livegame!$V$21,"",IF(livegame!$T$20,B1329,A1329))</f>
        <v/>
      </c>
    </row>
    <row r="1330" spans="1:2">
      <c r="A1330" t="str">
        <f>IF(livegame!$V$21,"",IF(A1330&lt;&gt;"",A1330,IF(AND(livegame!$T$20,livegame!$U$20&lt;&gt;"",B1330="",B1329&lt;&gt;""),livegame!$U$20,"")))</f>
        <v/>
      </c>
      <c r="B1330" t="str">
        <f>IF(livegame!$V$21,"",IF(livegame!$T$20,B1330,A1330))</f>
        <v/>
      </c>
    </row>
    <row r="1331" spans="1:2">
      <c r="A1331" t="str">
        <f>IF(livegame!$V$21,"",IF(A1331&lt;&gt;"",A1331,IF(AND(livegame!$T$20,livegame!$U$20&lt;&gt;"",B1331="",B1330&lt;&gt;""),livegame!$U$20,"")))</f>
        <v/>
      </c>
      <c r="B1331" t="str">
        <f>IF(livegame!$V$21,"",IF(livegame!$T$20,B1331,A1331))</f>
        <v/>
      </c>
    </row>
    <row r="1332" spans="1:2">
      <c r="A1332" t="str">
        <f>IF(livegame!$V$21,"",IF(A1332&lt;&gt;"",A1332,IF(AND(livegame!$T$20,livegame!$U$20&lt;&gt;"",B1332="",B1331&lt;&gt;""),livegame!$U$20,"")))</f>
        <v/>
      </c>
      <c r="B1332" t="str">
        <f>IF(livegame!$V$21,"",IF(livegame!$T$20,B1332,A1332))</f>
        <v/>
      </c>
    </row>
    <row r="1333" spans="1:2">
      <c r="A1333" t="str">
        <f>IF(livegame!$V$21,"",IF(A1333&lt;&gt;"",A1333,IF(AND(livegame!$T$20,livegame!$U$20&lt;&gt;"",B1333="",B1332&lt;&gt;""),livegame!$U$20,"")))</f>
        <v/>
      </c>
      <c r="B1333" t="str">
        <f>IF(livegame!$V$21,"",IF(livegame!$T$20,B1333,A1333))</f>
        <v/>
      </c>
    </row>
    <row r="1334" spans="1:2">
      <c r="A1334" t="str">
        <f>IF(livegame!$V$21,"",IF(A1334&lt;&gt;"",A1334,IF(AND(livegame!$T$20,livegame!$U$20&lt;&gt;"",B1334="",B1333&lt;&gt;""),livegame!$U$20,"")))</f>
        <v/>
      </c>
      <c r="B1334" t="str">
        <f>IF(livegame!$V$21,"",IF(livegame!$T$20,B1334,A1334))</f>
        <v/>
      </c>
    </row>
    <row r="1335" spans="1:2">
      <c r="A1335" t="str">
        <f>IF(livegame!$V$21,"",IF(A1335&lt;&gt;"",A1335,IF(AND(livegame!$T$20,livegame!$U$20&lt;&gt;"",B1335="",B1334&lt;&gt;""),livegame!$U$20,"")))</f>
        <v/>
      </c>
      <c r="B1335" t="str">
        <f>IF(livegame!$V$21,"",IF(livegame!$T$20,B1335,A1335))</f>
        <v/>
      </c>
    </row>
    <row r="1336" spans="1:2">
      <c r="A1336" t="str">
        <f>IF(livegame!$V$21,"",IF(A1336&lt;&gt;"",A1336,IF(AND(livegame!$T$20,livegame!$U$20&lt;&gt;"",B1336="",B1335&lt;&gt;""),livegame!$U$20,"")))</f>
        <v/>
      </c>
      <c r="B1336" t="str">
        <f>IF(livegame!$V$21,"",IF(livegame!$T$20,B1336,A1336))</f>
        <v/>
      </c>
    </row>
    <row r="1337" spans="1:2">
      <c r="A1337" t="str">
        <f>IF(livegame!$V$21,"",IF(A1337&lt;&gt;"",A1337,IF(AND(livegame!$T$20,livegame!$U$20&lt;&gt;"",B1337="",B1336&lt;&gt;""),livegame!$U$20,"")))</f>
        <v/>
      </c>
      <c r="B1337" t="str">
        <f>IF(livegame!$V$21,"",IF(livegame!$T$20,B1337,A1337))</f>
        <v/>
      </c>
    </row>
    <row r="1338" spans="1:2">
      <c r="A1338" t="str">
        <f>IF(livegame!$V$21,"",IF(A1338&lt;&gt;"",A1338,IF(AND(livegame!$T$20,livegame!$U$20&lt;&gt;"",B1338="",B1337&lt;&gt;""),livegame!$U$20,"")))</f>
        <v/>
      </c>
      <c r="B1338" t="str">
        <f>IF(livegame!$V$21,"",IF(livegame!$T$20,B1338,A1338))</f>
        <v/>
      </c>
    </row>
    <row r="1339" spans="1:2">
      <c r="A1339" t="str">
        <f>IF(livegame!$V$21,"",IF(A1339&lt;&gt;"",A1339,IF(AND(livegame!$T$20,livegame!$U$20&lt;&gt;"",B1339="",B1338&lt;&gt;""),livegame!$U$20,"")))</f>
        <v/>
      </c>
      <c r="B1339" t="str">
        <f>IF(livegame!$V$21,"",IF(livegame!$T$20,B1339,A1339))</f>
        <v/>
      </c>
    </row>
    <row r="1340" spans="1:2">
      <c r="A1340" t="str">
        <f>IF(livegame!$V$21,"",IF(A1340&lt;&gt;"",A1340,IF(AND(livegame!$T$20,livegame!$U$20&lt;&gt;"",B1340="",B1339&lt;&gt;""),livegame!$U$20,"")))</f>
        <v/>
      </c>
      <c r="B1340" t="str">
        <f>IF(livegame!$V$21,"",IF(livegame!$T$20,B1340,A1340))</f>
        <v/>
      </c>
    </row>
    <row r="1341" spans="1:2">
      <c r="A1341" t="str">
        <f>IF(livegame!$V$21,"",IF(A1341&lt;&gt;"",A1341,IF(AND(livegame!$T$20,livegame!$U$20&lt;&gt;"",B1341="",B1340&lt;&gt;""),livegame!$U$20,"")))</f>
        <v/>
      </c>
      <c r="B1341" t="str">
        <f>IF(livegame!$V$21,"",IF(livegame!$T$20,B1341,A1341))</f>
        <v/>
      </c>
    </row>
    <row r="1342" spans="1:2">
      <c r="A1342" t="str">
        <f>IF(livegame!$V$21,"",IF(A1342&lt;&gt;"",A1342,IF(AND(livegame!$T$20,livegame!$U$20&lt;&gt;"",B1342="",B1341&lt;&gt;""),livegame!$U$20,"")))</f>
        <v/>
      </c>
      <c r="B1342" t="str">
        <f>IF(livegame!$V$21,"",IF(livegame!$T$20,B1342,A1342))</f>
        <v/>
      </c>
    </row>
    <row r="1343" spans="1:2">
      <c r="A1343" t="str">
        <f>IF(livegame!$V$21,"",IF(A1343&lt;&gt;"",A1343,IF(AND(livegame!$T$20,livegame!$U$20&lt;&gt;"",B1343="",B1342&lt;&gt;""),livegame!$U$20,"")))</f>
        <v/>
      </c>
      <c r="B1343" t="str">
        <f>IF(livegame!$V$21,"",IF(livegame!$T$20,B1343,A1343))</f>
        <v/>
      </c>
    </row>
    <row r="1344" spans="1:2">
      <c r="A1344" t="str">
        <f>IF(livegame!$V$21,"",IF(A1344&lt;&gt;"",A1344,IF(AND(livegame!$T$20,livegame!$U$20&lt;&gt;"",B1344="",B1343&lt;&gt;""),livegame!$U$20,"")))</f>
        <v/>
      </c>
      <c r="B1344" t="str">
        <f>IF(livegame!$V$21,"",IF(livegame!$T$20,B1344,A1344))</f>
        <v/>
      </c>
    </row>
    <row r="1345" spans="1:2">
      <c r="A1345" t="str">
        <f>IF(livegame!$V$21,"",IF(A1345&lt;&gt;"",A1345,IF(AND(livegame!$T$20,livegame!$U$20&lt;&gt;"",B1345="",B1344&lt;&gt;""),livegame!$U$20,"")))</f>
        <v/>
      </c>
      <c r="B1345" t="str">
        <f>IF(livegame!$V$21,"",IF(livegame!$T$20,B1345,A1345))</f>
        <v/>
      </c>
    </row>
    <row r="1346" spans="1:2">
      <c r="A1346" t="str">
        <f>IF(livegame!$V$21,"",IF(A1346&lt;&gt;"",A1346,IF(AND(livegame!$T$20,livegame!$U$20&lt;&gt;"",B1346="",B1345&lt;&gt;""),livegame!$U$20,"")))</f>
        <v/>
      </c>
      <c r="B1346" t="str">
        <f>IF(livegame!$V$21,"",IF(livegame!$T$20,B1346,A1346))</f>
        <v/>
      </c>
    </row>
    <row r="1347" spans="1:2">
      <c r="A1347" t="str">
        <f>IF(livegame!$V$21,"",IF(A1347&lt;&gt;"",A1347,IF(AND(livegame!$T$20,livegame!$U$20&lt;&gt;"",B1347="",B1346&lt;&gt;""),livegame!$U$20,"")))</f>
        <v/>
      </c>
      <c r="B1347" t="str">
        <f>IF(livegame!$V$21,"",IF(livegame!$T$20,B1347,A1347))</f>
        <v/>
      </c>
    </row>
    <row r="1348" spans="1:2">
      <c r="A1348" t="str">
        <f>IF(livegame!$V$21,"",IF(A1348&lt;&gt;"",A1348,IF(AND(livegame!$T$20,livegame!$U$20&lt;&gt;"",B1348="",B1347&lt;&gt;""),livegame!$U$20,"")))</f>
        <v/>
      </c>
      <c r="B1348" t="str">
        <f>IF(livegame!$V$21,"",IF(livegame!$T$20,B1348,A1348))</f>
        <v/>
      </c>
    </row>
    <row r="1349" spans="1:2">
      <c r="A1349" t="str">
        <f>IF(livegame!$V$21,"",IF(A1349&lt;&gt;"",A1349,IF(AND(livegame!$T$20,livegame!$U$20&lt;&gt;"",B1349="",B1348&lt;&gt;""),livegame!$U$20,"")))</f>
        <v/>
      </c>
      <c r="B1349" t="str">
        <f>IF(livegame!$V$21,"",IF(livegame!$T$20,B1349,A1349))</f>
        <v/>
      </c>
    </row>
    <row r="1350" spans="1:2">
      <c r="A1350" t="str">
        <f>IF(livegame!$V$21,"",IF(A1350&lt;&gt;"",A1350,IF(AND(livegame!$T$20,livegame!$U$20&lt;&gt;"",B1350="",B1349&lt;&gt;""),livegame!$U$20,"")))</f>
        <v/>
      </c>
      <c r="B1350" t="str">
        <f>IF(livegame!$V$21,"",IF(livegame!$T$20,B1350,A1350))</f>
        <v/>
      </c>
    </row>
    <row r="1351" spans="1:2">
      <c r="A1351" t="str">
        <f>IF(livegame!$V$21,"",IF(A1351&lt;&gt;"",A1351,IF(AND(livegame!$T$20,livegame!$U$20&lt;&gt;"",B1351="",B1350&lt;&gt;""),livegame!$U$20,"")))</f>
        <v/>
      </c>
      <c r="B1351" t="str">
        <f>IF(livegame!$V$21,"",IF(livegame!$T$20,B1351,A1351))</f>
        <v/>
      </c>
    </row>
    <row r="1352" spans="1:2">
      <c r="A1352" t="str">
        <f>IF(livegame!$V$21,"",IF(A1352&lt;&gt;"",A1352,IF(AND(livegame!$T$20,livegame!$U$20&lt;&gt;"",B1352="",B1351&lt;&gt;""),livegame!$U$20,"")))</f>
        <v/>
      </c>
      <c r="B1352" t="str">
        <f>IF(livegame!$V$21,"",IF(livegame!$T$20,B1352,A1352))</f>
        <v/>
      </c>
    </row>
    <row r="1353" spans="1:2">
      <c r="A1353" t="str">
        <f>IF(livegame!$V$21,"",IF(A1353&lt;&gt;"",A1353,IF(AND(livegame!$T$20,livegame!$U$20&lt;&gt;"",B1353="",B1352&lt;&gt;""),livegame!$U$20,"")))</f>
        <v/>
      </c>
      <c r="B1353" t="str">
        <f>IF(livegame!$V$21,"",IF(livegame!$T$20,B1353,A1353))</f>
        <v/>
      </c>
    </row>
    <row r="1354" spans="1:2">
      <c r="A1354" t="str">
        <f>IF(livegame!$V$21,"",IF(A1354&lt;&gt;"",A1354,IF(AND(livegame!$T$20,livegame!$U$20&lt;&gt;"",B1354="",B1353&lt;&gt;""),livegame!$U$20,"")))</f>
        <v/>
      </c>
      <c r="B1354" t="str">
        <f>IF(livegame!$V$21,"",IF(livegame!$T$20,B1354,A1354))</f>
        <v/>
      </c>
    </row>
    <row r="1355" spans="1:2">
      <c r="A1355" t="str">
        <f>IF(livegame!$V$21,"",IF(A1355&lt;&gt;"",A1355,IF(AND(livegame!$T$20,livegame!$U$20&lt;&gt;"",B1355="",B1354&lt;&gt;""),livegame!$U$20,"")))</f>
        <v/>
      </c>
      <c r="B1355" t="str">
        <f>IF(livegame!$V$21,"",IF(livegame!$T$20,B1355,A1355))</f>
        <v/>
      </c>
    </row>
    <row r="1356" spans="1:2">
      <c r="A1356" t="str">
        <f>IF(livegame!$V$21,"",IF(A1356&lt;&gt;"",A1356,IF(AND(livegame!$T$20,livegame!$U$20&lt;&gt;"",B1356="",B1355&lt;&gt;""),livegame!$U$20,"")))</f>
        <v/>
      </c>
      <c r="B1356" t="str">
        <f>IF(livegame!$V$21,"",IF(livegame!$T$20,B1356,A1356))</f>
        <v/>
      </c>
    </row>
    <row r="1357" spans="1:2">
      <c r="A1357" t="str">
        <f>IF(livegame!$V$21,"",IF(A1357&lt;&gt;"",A1357,IF(AND(livegame!$T$20,livegame!$U$20&lt;&gt;"",B1357="",B1356&lt;&gt;""),livegame!$U$20,"")))</f>
        <v/>
      </c>
      <c r="B1357" t="str">
        <f>IF(livegame!$V$21,"",IF(livegame!$T$20,B1357,A1357))</f>
        <v/>
      </c>
    </row>
    <row r="1358" spans="1:2">
      <c r="A1358" t="str">
        <f>IF(livegame!$V$21,"",IF(A1358&lt;&gt;"",A1358,IF(AND(livegame!$T$20,livegame!$U$20&lt;&gt;"",B1358="",B1357&lt;&gt;""),livegame!$U$20,"")))</f>
        <v/>
      </c>
      <c r="B1358" t="str">
        <f>IF(livegame!$V$21,"",IF(livegame!$T$20,B1358,A1358))</f>
        <v/>
      </c>
    </row>
    <row r="1359" spans="1:2">
      <c r="A1359" t="str">
        <f>IF(livegame!$V$21,"",IF(A1359&lt;&gt;"",A1359,IF(AND(livegame!$T$20,livegame!$U$20&lt;&gt;"",B1359="",B1358&lt;&gt;""),livegame!$U$20,"")))</f>
        <v/>
      </c>
      <c r="B1359" t="str">
        <f>IF(livegame!$V$21,"",IF(livegame!$T$20,B1359,A1359))</f>
        <v/>
      </c>
    </row>
    <row r="1360" spans="1:2">
      <c r="A1360" t="str">
        <f>IF(livegame!$V$21,"",IF(A1360&lt;&gt;"",A1360,IF(AND(livegame!$T$20,livegame!$U$20&lt;&gt;"",B1360="",B1359&lt;&gt;""),livegame!$U$20,"")))</f>
        <v/>
      </c>
      <c r="B1360" t="str">
        <f>IF(livegame!$V$21,"",IF(livegame!$T$20,B1360,A1360))</f>
        <v/>
      </c>
    </row>
    <row r="1361" spans="1:2">
      <c r="A1361" t="str">
        <f>IF(livegame!$V$21,"",IF(A1361&lt;&gt;"",A1361,IF(AND(livegame!$T$20,livegame!$U$20&lt;&gt;"",B1361="",B1360&lt;&gt;""),livegame!$U$20,"")))</f>
        <v/>
      </c>
      <c r="B1361" t="str">
        <f>IF(livegame!$V$21,"",IF(livegame!$T$20,B1361,A1361))</f>
        <v/>
      </c>
    </row>
    <row r="1362" spans="1:2">
      <c r="A1362" t="str">
        <f>IF(livegame!$V$21,"",IF(A1362&lt;&gt;"",A1362,IF(AND(livegame!$T$20,livegame!$U$20&lt;&gt;"",B1362="",B1361&lt;&gt;""),livegame!$U$20,"")))</f>
        <v/>
      </c>
      <c r="B1362" t="str">
        <f>IF(livegame!$V$21,"",IF(livegame!$T$20,B1362,A1362))</f>
        <v/>
      </c>
    </row>
    <row r="1363" spans="1:2">
      <c r="A1363" t="str">
        <f>IF(livegame!$V$21,"",IF(A1363&lt;&gt;"",A1363,IF(AND(livegame!$T$20,livegame!$U$20&lt;&gt;"",B1363="",B1362&lt;&gt;""),livegame!$U$20,"")))</f>
        <v/>
      </c>
      <c r="B1363" t="str">
        <f>IF(livegame!$V$21,"",IF(livegame!$T$20,B1363,A1363))</f>
        <v/>
      </c>
    </row>
    <row r="1364" spans="1:2">
      <c r="A1364" t="str">
        <f>IF(livegame!$V$21,"",IF(A1364&lt;&gt;"",A1364,IF(AND(livegame!$T$20,livegame!$U$20&lt;&gt;"",B1364="",B1363&lt;&gt;""),livegame!$U$20,"")))</f>
        <v/>
      </c>
      <c r="B1364" t="str">
        <f>IF(livegame!$V$21,"",IF(livegame!$T$20,B1364,A1364))</f>
        <v/>
      </c>
    </row>
    <row r="1365" spans="1:2">
      <c r="A1365" t="str">
        <f>IF(livegame!$V$21,"",IF(A1365&lt;&gt;"",A1365,IF(AND(livegame!$T$20,livegame!$U$20&lt;&gt;"",B1365="",B1364&lt;&gt;""),livegame!$U$20,"")))</f>
        <v/>
      </c>
      <c r="B1365" t="str">
        <f>IF(livegame!$V$21,"",IF(livegame!$T$20,B1365,A1365))</f>
        <v/>
      </c>
    </row>
    <row r="1366" spans="1:2">
      <c r="A1366" t="str">
        <f>IF(livegame!$V$21,"",IF(A1366&lt;&gt;"",A1366,IF(AND(livegame!$T$20,livegame!$U$20&lt;&gt;"",B1366="",B1365&lt;&gt;""),livegame!$U$20,"")))</f>
        <v/>
      </c>
      <c r="B1366" t="str">
        <f>IF(livegame!$V$21,"",IF(livegame!$T$20,B1366,A1366))</f>
        <v/>
      </c>
    </row>
    <row r="1367" spans="1:2">
      <c r="A1367" t="str">
        <f>IF(livegame!$V$21,"",IF(A1367&lt;&gt;"",A1367,IF(AND(livegame!$T$20,livegame!$U$20&lt;&gt;"",B1367="",B1366&lt;&gt;""),livegame!$U$20,"")))</f>
        <v/>
      </c>
      <c r="B1367" t="str">
        <f>IF(livegame!$V$21,"",IF(livegame!$T$20,B1367,A1367))</f>
        <v/>
      </c>
    </row>
    <row r="1368" spans="1:2">
      <c r="A1368" t="str">
        <f>IF(livegame!$V$21,"",IF(A1368&lt;&gt;"",A1368,IF(AND(livegame!$T$20,livegame!$U$20&lt;&gt;"",B1368="",B1367&lt;&gt;""),livegame!$U$20,"")))</f>
        <v/>
      </c>
      <c r="B1368" t="str">
        <f>IF(livegame!$V$21,"",IF(livegame!$T$20,B1368,A1368))</f>
        <v/>
      </c>
    </row>
    <row r="1369" spans="1:2">
      <c r="A1369" t="str">
        <f>IF(livegame!$V$21,"",IF(A1369&lt;&gt;"",A1369,IF(AND(livegame!$T$20,livegame!$U$20&lt;&gt;"",B1369="",B1368&lt;&gt;""),livegame!$U$20,"")))</f>
        <v/>
      </c>
      <c r="B1369" t="str">
        <f>IF(livegame!$V$21,"",IF(livegame!$T$20,B1369,A1369))</f>
        <v/>
      </c>
    </row>
    <row r="1370" spans="1:2">
      <c r="A1370" t="str">
        <f>IF(livegame!$V$21,"",IF(A1370&lt;&gt;"",A1370,IF(AND(livegame!$T$20,livegame!$U$20&lt;&gt;"",B1370="",B1369&lt;&gt;""),livegame!$U$20,"")))</f>
        <v/>
      </c>
      <c r="B1370" t="str">
        <f>IF(livegame!$V$21,"",IF(livegame!$T$20,B1370,A1370))</f>
        <v/>
      </c>
    </row>
    <row r="1371" spans="1:2">
      <c r="A1371" t="str">
        <f>IF(livegame!$V$21,"",IF(A1371&lt;&gt;"",A1371,IF(AND(livegame!$T$20,livegame!$U$20&lt;&gt;"",B1371="",B1370&lt;&gt;""),livegame!$U$20,"")))</f>
        <v/>
      </c>
      <c r="B1371" t="str">
        <f>IF(livegame!$V$21,"",IF(livegame!$T$20,B1371,A1371))</f>
        <v/>
      </c>
    </row>
    <row r="1372" spans="1:2">
      <c r="A1372" t="str">
        <f>IF(livegame!$V$21,"",IF(A1372&lt;&gt;"",A1372,IF(AND(livegame!$T$20,livegame!$U$20&lt;&gt;"",B1372="",B1371&lt;&gt;""),livegame!$U$20,"")))</f>
        <v/>
      </c>
      <c r="B1372" t="str">
        <f>IF(livegame!$V$21,"",IF(livegame!$T$20,B1372,A1372))</f>
        <v/>
      </c>
    </row>
    <row r="1373" spans="1:2">
      <c r="A1373" t="str">
        <f>IF(livegame!$V$21,"",IF(A1373&lt;&gt;"",A1373,IF(AND(livegame!$T$20,livegame!$U$20&lt;&gt;"",B1373="",B1372&lt;&gt;""),livegame!$U$20,"")))</f>
        <v/>
      </c>
      <c r="B1373" t="str">
        <f>IF(livegame!$V$21,"",IF(livegame!$T$20,B1373,A1373))</f>
        <v/>
      </c>
    </row>
    <row r="1374" spans="1:2">
      <c r="A1374" t="str">
        <f>IF(livegame!$V$21,"",IF(A1374&lt;&gt;"",A1374,IF(AND(livegame!$T$20,livegame!$U$20&lt;&gt;"",B1374="",B1373&lt;&gt;""),livegame!$U$20,"")))</f>
        <v/>
      </c>
      <c r="B1374" t="str">
        <f>IF(livegame!$V$21,"",IF(livegame!$T$20,B1374,A1374))</f>
        <v/>
      </c>
    </row>
    <row r="1375" spans="1:2">
      <c r="A1375" t="str">
        <f>IF(livegame!$V$21,"",IF(A1375&lt;&gt;"",A1375,IF(AND(livegame!$T$20,livegame!$U$20&lt;&gt;"",B1375="",B1374&lt;&gt;""),livegame!$U$20,"")))</f>
        <v/>
      </c>
      <c r="B1375" t="str">
        <f>IF(livegame!$V$21,"",IF(livegame!$T$20,B1375,A1375))</f>
        <v/>
      </c>
    </row>
    <row r="1376" spans="1:2">
      <c r="A1376" t="str">
        <f>IF(livegame!$V$21,"",IF(A1376&lt;&gt;"",A1376,IF(AND(livegame!$T$20,livegame!$U$20&lt;&gt;"",B1376="",B1375&lt;&gt;""),livegame!$U$20,"")))</f>
        <v/>
      </c>
      <c r="B1376" t="str">
        <f>IF(livegame!$V$21,"",IF(livegame!$T$20,B1376,A1376))</f>
        <v/>
      </c>
    </row>
    <row r="1377" spans="1:2">
      <c r="A1377" t="str">
        <f>IF(livegame!$V$21,"",IF(A1377&lt;&gt;"",A1377,IF(AND(livegame!$T$20,livegame!$U$20&lt;&gt;"",B1377="",B1376&lt;&gt;""),livegame!$U$20,"")))</f>
        <v/>
      </c>
      <c r="B1377" t="str">
        <f>IF(livegame!$V$21,"",IF(livegame!$T$20,B1377,A1377))</f>
        <v/>
      </c>
    </row>
    <row r="1378" spans="1:2">
      <c r="A1378" t="str">
        <f>IF(livegame!$V$21,"",IF(A1378&lt;&gt;"",A1378,IF(AND(livegame!$T$20,livegame!$U$20&lt;&gt;"",B1378="",B1377&lt;&gt;""),livegame!$U$20,"")))</f>
        <v/>
      </c>
      <c r="B1378" t="str">
        <f>IF(livegame!$V$21,"",IF(livegame!$T$20,B1378,A1378))</f>
        <v/>
      </c>
    </row>
    <row r="1379" spans="1:2">
      <c r="A1379" t="str">
        <f>IF(livegame!$V$21,"",IF(A1379&lt;&gt;"",A1379,IF(AND(livegame!$T$20,livegame!$U$20&lt;&gt;"",B1379="",B1378&lt;&gt;""),livegame!$U$20,"")))</f>
        <v/>
      </c>
      <c r="B1379" t="str">
        <f>IF(livegame!$V$21,"",IF(livegame!$T$20,B1379,A1379))</f>
        <v/>
      </c>
    </row>
    <row r="1380" spans="1:2">
      <c r="A1380" t="str">
        <f>IF(livegame!$V$21,"",IF(A1380&lt;&gt;"",A1380,IF(AND(livegame!$T$20,livegame!$U$20&lt;&gt;"",B1380="",B1379&lt;&gt;""),livegame!$U$20,"")))</f>
        <v/>
      </c>
      <c r="B1380" t="str">
        <f>IF(livegame!$V$21,"",IF(livegame!$T$20,B1380,A1380))</f>
        <v/>
      </c>
    </row>
    <row r="1381" spans="1:2">
      <c r="A1381" t="str">
        <f>IF(livegame!$V$21,"",IF(A1381&lt;&gt;"",A1381,IF(AND(livegame!$T$20,livegame!$U$20&lt;&gt;"",B1381="",B1380&lt;&gt;""),livegame!$U$20,"")))</f>
        <v/>
      </c>
      <c r="B1381" t="str">
        <f>IF(livegame!$V$21,"",IF(livegame!$T$20,B1381,A1381))</f>
        <v/>
      </c>
    </row>
    <row r="1382" spans="1:2">
      <c r="A1382" t="str">
        <f>IF(livegame!$V$21,"",IF(A1382&lt;&gt;"",A1382,IF(AND(livegame!$T$20,livegame!$U$20&lt;&gt;"",B1382="",B1381&lt;&gt;""),livegame!$U$20,"")))</f>
        <v/>
      </c>
      <c r="B1382" t="str">
        <f>IF(livegame!$V$21,"",IF(livegame!$T$20,B1382,A1382))</f>
        <v/>
      </c>
    </row>
    <row r="1383" spans="1:2">
      <c r="A1383" t="str">
        <f>IF(livegame!$V$21,"",IF(A1383&lt;&gt;"",A1383,IF(AND(livegame!$T$20,livegame!$U$20&lt;&gt;"",B1383="",B1382&lt;&gt;""),livegame!$U$20,"")))</f>
        <v/>
      </c>
      <c r="B1383" t="str">
        <f>IF(livegame!$V$21,"",IF(livegame!$T$20,B1383,A1383))</f>
        <v/>
      </c>
    </row>
    <row r="1384" spans="1:2">
      <c r="A1384" t="str">
        <f>IF(livegame!$V$21,"",IF(A1384&lt;&gt;"",A1384,IF(AND(livegame!$T$20,livegame!$U$20&lt;&gt;"",B1384="",B1383&lt;&gt;""),livegame!$U$20,"")))</f>
        <v/>
      </c>
      <c r="B1384" t="str">
        <f>IF(livegame!$V$21,"",IF(livegame!$T$20,B1384,A1384))</f>
        <v/>
      </c>
    </row>
    <row r="1385" spans="1:2">
      <c r="A1385" t="str">
        <f>IF(livegame!$V$21,"",IF(A1385&lt;&gt;"",A1385,IF(AND(livegame!$T$20,livegame!$U$20&lt;&gt;"",B1385="",B1384&lt;&gt;""),livegame!$U$20,"")))</f>
        <v/>
      </c>
      <c r="B1385" t="str">
        <f>IF(livegame!$V$21,"",IF(livegame!$T$20,B1385,A1385))</f>
        <v/>
      </c>
    </row>
    <row r="1386" spans="1:2">
      <c r="A1386" t="str">
        <f>IF(livegame!$V$21,"",IF(A1386&lt;&gt;"",A1386,IF(AND(livegame!$T$20,livegame!$U$20&lt;&gt;"",B1386="",B1385&lt;&gt;""),livegame!$U$20,"")))</f>
        <v/>
      </c>
      <c r="B1386" t="str">
        <f>IF(livegame!$V$21,"",IF(livegame!$T$20,B1386,A1386))</f>
        <v/>
      </c>
    </row>
    <row r="1387" spans="1:2">
      <c r="A1387" t="str">
        <f>IF(livegame!$V$21,"",IF(A1387&lt;&gt;"",A1387,IF(AND(livegame!$T$20,livegame!$U$20&lt;&gt;"",B1387="",B1386&lt;&gt;""),livegame!$U$20,"")))</f>
        <v/>
      </c>
      <c r="B1387" t="str">
        <f>IF(livegame!$V$21,"",IF(livegame!$T$20,B1387,A1387))</f>
        <v/>
      </c>
    </row>
    <row r="1388" spans="1:2">
      <c r="A1388" t="str">
        <f>IF(livegame!$V$21,"",IF(A1388&lt;&gt;"",A1388,IF(AND(livegame!$T$20,livegame!$U$20&lt;&gt;"",B1388="",B1387&lt;&gt;""),livegame!$U$20,"")))</f>
        <v/>
      </c>
      <c r="B1388" t="str">
        <f>IF(livegame!$V$21,"",IF(livegame!$T$20,B1388,A1388))</f>
        <v/>
      </c>
    </row>
    <row r="1389" spans="1:2">
      <c r="A1389" t="str">
        <f>IF(livegame!$V$21,"",IF(A1389&lt;&gt;"",A1389,IF(AND(livegame!$T$20,livegame!$U$20&lt;&gt;"",B1389="",B1388&lt;&gt;""),livegame!$U$20,"")))</f>
        <v/>
      </c>
      <c r="B1389" t="str">
        <f>IF(livegame!$V$21,"",IF(livegame!$T$20,B1389,A1389))</f>
        <v/>
      </c>
    </row>
    <row r="1390" spans="1:2">
      <c r="A1390" t="str">
        <f>IF(livegame!$V$21,"",IF(A1390&lt;&gt;"",A1390,IF(AND(livegame!$T$20,livegame!$U$20&lt;&gt;"",B1390="",B1389&lt;&gt;""),livegame!$U$20,"")))</f>
        <v/>
      </c>
      <c r="B1390" t="str">
        <f>IF(livegame!$V$21,"",IF(livegame!$T$20,B1390,A1390))</f>
        <v/>
      </c>
    </row>
    <row r="1391" spans="1:2">
      <c r="A1391" t="str">
        <f>IF(livegame!$V$21,"",IF(A1391&lt;&gt;"",A1391,IF(AND(livegame!$T$20,livegame!$U$20&lt;&gt;"",B1391="",B1390&lt;&gt;""),livegame!$U$20,"")))</f>
        <v/>
      </c>
      <c r="B1391" t="str">
        <f>IF(livegame!$V$21,"",IF(livegame!$T$20,B1391,A1391))</f>
        <v/>
      </c>
    </row>
    <row r="1392" spans="1:2">
      <c r="A1392" t="str">
        <f>IF(livegame!$V$21,"",IF(A1392&lt;&gt;"",A1392,IF(AND(livegame!$T$20,livegame!$U$20&lt;&gt;"",B1392="",B1391&lt;&gt;""),livegame!$U$20,"")))</f>
        <v/>
      </c>
      <c r="B1392" t="str">
        <f>IF(livegame!$V$21,"",IF(livegame!$T$20,B1392,A1392))</f>
        <v/>
      </c>
    </row>
    <row r="1393" spans="1:2">
      <c r="A1393" t="str">
        <f>IF(livegame!$V$21,"",IF(A1393&lt;&gt;"",A1393,IF(AND(livegame!$T$20,livegame!$U$20&lt;&gt;"",B1393="",B1392&lt;&gt;""),livegame!$U$20,"")))</f>
        <v/>
      </c>
      <c r="B1393" t="str">
        <f>IF(livegame!$V$21,"",IF(livegame!$T$20,B1393,A1393))</f>
        <v/>
      </c>
    </row>
    <row r="1394" spans="1:2">
      <c r="A1394" t="str">
        <f>IF(livegame!$V$21,"",IF(A1394&lt;&gt;"",A1394,IF(AND(livegame!$T$20,livegame!$U$20&lt;&gt;"",B1394="",B1393&lt;&gt;""),livegame!$U$20,"")))</f>
        <v/>
      </c>
      <c r="B1394" t="str">
        <f>IF(livegame!$V$21,"",IF(livegame!$T$20,B1394,A1394))</f>
        <v/>
      </c>
    </row>
    <row r="1395" spans="1:2">
      <c r="A1395" t="str">
        <f>IF(livegame!$V$21,"",IF(A1395&lt;&gt;"",A1395,IF(AND(livegame!$T$20,livegame!$U$20&lt;&gt;"",B1395="",B1394&lt;&gt;""),livegame!$U$20,"")))</f>
        <v/>
      </c>
      <c r="B1395" t="str">
        <f>IF(livegame!$V$21,"",IF(livegame!$T$20,B1395,A1395))</f>
        <v/>
      </c>
    </row>
    <row r="1396" spans="1:2">
      <c r="A1396" t="str">
        <f>IF(livegame!$V$21,"",IF(A1396&lt;&gt;"",A1396,IF(AND(livegame!$T$20,livegame!$U$20&lt;&gt;"",B1396="",B1395&lt;&gt;""),livegame!$U$20,"")))</f>
        <v/>
      </c>
      <c r="B1396" t="str">
        <f>IF(livegame!$V$21,"",IF(livegame!$T$20,B1396,A1396))</f>
        <v/>
      </c>
    </row>
    <row r="1397" spans="1:2">
      <c r="A1397" t="str">
        <f>IF(livegame!$V$21,"",IF(A1397&lt;&gt;"",A1397,IF(AND(livegame!$T$20,livegame!$U$20&lt;&gt;"",B1397="",B1396&lt;&gt;""),livegame!$U$20,"")))</f>
        <v/>
      </c>
      <c r="B1397" t="str">
        <f>IF(livegame!$V$21,"",IF(livegame!$T$20,B1397,A1397))</f>
        <v/>
      </c>
    </row>
    <row r="1398" spans="1:2">
      <c r="A1398" t="str">
        <f>IF(livegame!$V$21,"",IF(A1398&lt;&gt;"",A1398,IF(AND(livegame!$T$20,livegame!$U$20&lt;&gt;"",B1398="",B1397&lt;&gt;""),livegame!$U$20,"")))</f>
        <v/>
      </c>
      <c r="B1398" t="str">
        <f>IF(livegame!$V$21,"",IF(livegame!$T$20,B1398,A1398))</f>
        <v/>
      </c>
    </row>
    <row r="1399" spans="1:2">
      <c r="A1399" t="str">
        <f>IF(livegame!$V$21,"",IF(A1399&lt;&gt;"",A1399,IF(AND(livegame!$T$20,livegame!$U$20&lt;&gt;"",B1399="",B1398&lt;&gt;""),livegame!$U$20,"")))</f>
        <v/>
      </c>
      <c r="B1399" t="str">
        <f>IF(livegame!$V$21,"",IF(livegame!$T$20,B1399,A1399))</f>
        <v/>
      </c>
    </row>
    <row r="1400" spans="1:2">
      <c r="A1400" t="str">
        <f>IF(livegame!$V$21,"",IF(A1400&lt;&gt;"",A1400,IF(AND(livegame!$T$20,livegame!$U$20&lt;&gt;"",B1400="",B1399&lt;&gt;""),livegame!$U$20,"")))</f>
        <v/>
      </c>
      <c r="B1400" t="str">
        <f>IF(livegame!$V$21,"",IF(livegame!$T$20,B1400,A1400))</f>
        <v/>
      </c>
    </row>
    <row r="1401" spans="1:2">
      <c r="A1401" t="str">
        <f>IF(livegame!$V$21,"",IF(A1401&lt;&gt;"",A1401,IF(AND(livegame!$T$20,livegame!$U$20&lt;&gt;"",B1401="",B1400&lt;&gt;""),livegame!$U$20,"")))</f>
        <v/>
      </c>
      <c r="B1401" t="str">
        <f>IF(livegame!$V$21,"",IF(livegame!$T$20,B1401,A1401))</f>
        <v/>
      </c>
    </row>
    <row r="1402" spans="1:2">
      <c r="A1402" t="str">
        <f>IF(livegame!$V$21,"",IF(A1402&lt;&gt;"",A1402,IF(AND(livegame!$T$20,livegame!$U$20&lt;&gt;"",B1402="",B1401&lt;&gt;""),livegame!$U$20,"")))</f>
        <v/>
      </c>
      <c r="B1402" t="str">
        <f>IF(livegame!$V$21,"",IF(livegame!$T$20,B1402,A1402))</f>
        <v/>
      </c>
    </row>
    <row r="1403" spans="1:2">
      <c r="A1403" t="str">
        <f>IF(livegame!$V$21,"",IF(A1403&lt;&gt;"",A1403,IF(AND(livegame!$T$20,livegame!$U$20&lt;&gt;"",B1403="",B1402&lt;&gt;""),livegame!$U$20,"")))</f>
        <v/>
      </c>
      <c r="B1403" t="str">
        <f>IF(livegame!$V$21,"",IF(livegame!$T$20,B1403,A1403))</f>
        <v/>
      </c>
    </row>
    <row r="1404" spans="1:2">
      <c r="A1404" t="str">
        <f>IF(livegame!$V$21,"",IF(A1404&lt;&gt;"",A1404,IF(AND(livegame!$T$20,livegame!$U$20&lt;&gt;"",B1404="",B1403&lt;&gt;""),livegame!$U$20,"")))</f>
        <v/>
      </c>
      <c r="B1404" t="str">
        <f>IF(livegame!$V$21,"",IF(livegame!$T$20,B1404,A1404))</f>
        <v/>
      </c>
    </row>
    <row r="1405" spans="1:2">
      <c r="A1405" t="str">
        <f>IF(livegame!$V$21,"",IF(A1405&lt;&gt;"",A1405,IF(AND(livegame!$T$20,livegame!$U$20&lt;&gt;"",B1405="",B1404&lt;&gt;""),livegame!$U$20,"")))</f>
        <v/>
      </c>
      <c r="B1405" t="str">
        <f>IF(livegame!$V$21,"",IF(livegame!$T$20,B1405,A1405))</f>
        <v/>
      </c>
    </row>
    <row r="1406" spans="1:2">
      <c r="A1406" t="str">
        <f>IF(livegame!$V$21,"",IF(A1406&lt;&gt;"",A1406,IF(AND(livegame!$T$20,livegame!$U$20&lt;&gt;"",B1406="",B1405&lt;&gt;""),livegame!$U$20,"")))</f>
        <v/>
      </c>
      <c r="B1406" t="str">
        <f>IF(livegame!$V$21,"",IF(livegame!$T$20,B1406,A1406))</f>
        <v/>
      </c>
    </row>
    <row r="1407" spans="1:2">
      <c r="A1407" t="str">
        <f>IF(livegame!$V$21,"",IF(A1407&lt;&gt;"",A1407,IF(AND(livegame!$T$20,livegame!$U$20&lt;&gt;"",B1407="",B1406&lt;&gt;""),livegame!$U$20,"")))</f>
        <v/>
      </c>
      <c r="B1407" t="str">
        <f>IF(livegame!$V$21,"",IF(livegame!$T$20,B1407,A1407))</f>
        <v/>
      </c>
    </row>
    <row r="1408" spans="1:2">
      <c r="A1408" t="str">
        <f>IF(livegame!$V$21,"",IF(A1408&lt;&gt;"",A1408,IF(AND(livegame!$T$20,livegame!$U$20&lt;&gt;"",B1408="",B1407&lt;&gt;""),livegame!$U$20,"")))</f>
        <v/>
      </c>
      <c r="B1408" t="str">
        <f>IF(livegame!$V$21,"",IF(livegame!$T$20,B1408,A1408))</f>
        <v/>
      </c>
    </row>
    <row r="1409" spans="1:2">
      <c r="A1409" t="str">
        <f>IF(livegame!$V$21,"",IF(A1409&lt;&gt;"",A1409,IF(AND(livegame!$T$20,livegame!$U$20&lt;&gt;"",B1409="",B1408&lt;&gt;""),livegame!$U$20,"")))</f>
        <v/>
      </c>
      <c r="B1409" t="str">
        <f>IF(livegame!$V$21,"",IF(livegame!$T$20,B1409,A1409))</f>
        <v/>
      </c>
    </row>
    <row r="1410" spans="1:2">
      <c r="A1410" t="str">
        <f>IF(livegame!$V$21,"",IF(A1410&lt;&gt;"",A1410,IF(AND(livegame!$T$20,livegame!$U$20&lt;&gt;"",B1410="",B1409&lt;&gt;""),livegame!$U$20,"")))</f>
        <v/>
      </c>
      <c r="B1410" t="str">
        <f>IF(livegame!$V$21,"",IF(livegame!$T$20,B1410,A1410))</f>
        <v/>
      </c>
    </row>
    <row r="1411" spans="1:2">
      <c r="A1411" t="str">
        <f>IF(livegame!$V$21,"",IF(A1411&lt;&gt;"",A1411,IF(AND(livegame!$T$20,livegame!$U$20&lt;&gt;"",B1411="",B1410&lt;&gt;""),livegame!$U$20,"")))</f>
        <v/>
      </c>
      <c r="B1411" t="str">
        <f>IF(livegame!$V$21,"",IF(livegame!$T$20,B1411,A1411))</f>
        <v/>
      </c>
    </row>
    <row r="1412" spans="1:2">
      <c r="A1412" t="str">
        <f>IF(livegame!$V$21,"",IF(A1412&lt;&gt;"",A1412,IF(AND(livegame!$T$20,livegame!$U$20&lt;&gt;"",B1412="",B1411&lt;&gt;""),livegame!$U$20,"")))</f>
        <v/>
      </c>
      <c r="B1412" t="str">
        <f>IF(livegame!$V$21,"",IF(livegame!$T$20,B1412,A1412))</f>
        <v/>
      </c>
    </row>
    <row r="1413" spans="1:2">
      <c r="A1413" t="str">
        <f>IF(livegame!$V$21,"",IF(A1413&lt;&gt;"",A1413,IF(AND(livegame!$T$20,livegame!$U$20&lt;&gt;"",B1413="",B1412&lt;&gt;""),livegame!$U$20,"")))</f>
        <v/>
      </c>
      <c r="B1413" t="str">
        <f>IF(livegame!$V$21,"",IF(livegame!$T$20,B1413,A1413))</f>
        <v/>
      </c>
    </row>
    <row r="1414" spans="1:2">
      <c r="A1414" t="str">
        <f>IF(livegame!$V$21,"",IF(A1414&lt;&gt;"",A1414,IF(AND(livegame!$T$20,livegame!$U$20&lt;&gt;"",B1414="",B1413&lt;&gt;""),livegame!$U$20,"")))</f>
        <v/>
      </c>
      <c r="B1414" t="str">
        <f>IF(livegame!$V$21,"",IF(livegame!$T$20,B1414,A1414))</f>
        <v/>
      </c>
    </row>
    <row r="1415" spans="1:2">
      <c r="A1415" t="str">
        <f>IF(livegame!$V$21,"",IF(A1415&lt;&gt;"",A1415,IF(AND(livegame!$T$20,livegame!$U$20&lt;&gt;"",B1415="",B1414&lt;&gt;""),livegame!$U$20,"")))</f>
        <v/>
      </c>
      <c r="B1415" t="str">
        <f>IF(livegame!$V$21,"",IF(livegame!$T$20,B1415,A1415))</f>
        <v/>
      </c>
    </row>
    <row r="1416" spans="1:2">
      <c r="A1416" t="str">
        <f>IF(livegame!$V$21,"",IF(A1416&lt;&gt;"",A1416,IF(AND(livegame!$T$20,livegame!$U$20&lt;&gt;"",B1416="",B1415&lt;&gt;""),livegame!$U$20,"")))</f>
        <v/>
      </c>
      <c r="B1416" t="str">
        <f>IF(livegame!$V$21,"",IF(livegame!$T$20,B1416,A1416))</f>
        <v/>
      </c>
    </row>
    <row r="1417" spans="1:2">
      <c r="A1417" t="str">
        <f>IF(livegame!$V$21,"",IF(A1417&lt;&gt;"",A1417,IF(AND(livegame!$T$20,livegame!$U$20&lt;&gt;"",B1417="",B1416&lt;&gt;""),livegame!$U$20,"")))</f>
        <v/>
      </c>
      <c r="B1417" t="str">
        <f>IF(livegame!$V$21,"",IF(livegame!$T$20,B1417,A1417))</f>
        <v/>
      </c>
    </row>
    <row r="1418" spans="1:2">
      <c r="A1418" t="str">
        <f>IF(livegame!$V$21,"",IF(A1418&lt;&gt;"",A1418,IF(AND(livegame!$T$20,livegame!$U$20&lt;&gt;"",B1418="",B1417&lt;&gt;""),livegame!$U$20,"")))</f>
        <v/>
      </c>
      <c r="B1418" t="str">
        <f>IF(livegame!$V$21,"",IF(livegame!$T$20,B1418,A1418))</f>
        <v/>
      </c>
    </row>
    <row r="1419" spans="1:2">
      <c r="A1419" t="str">
        <f>IF(livegame!$V$21,"",IF(A1419&lt;&gt;"",A1419,IF(AND(livegame!$T$20,livegame!$U$20&lt;&gt;"",B1419="",B1418&lt;&gt;""),livegame!$U$20,"")))</f>
        <v/>
      </c>
      <c r="B1419" t="str">
        <f>IF(livegame!$V$21,"",IF(livegame!$T$20,B1419,A1419))</f>
        <v/>
      </c>
    </row>
    <row r="1420" spans="1:2">
      <c r="A1420" t="str">
        <f>IF(livegame!$V$21,"",IF(A1420&lt;&gt;"",A1420,IF(AND(livegame!$T$20,livegame!$U$20&lt;&gt;"",B1420="",B1419&lt;&gt;""),livegame!$U$20,"")))</f>
        <v/>
      </c>
      <c r="B1420" t="str">
        <f>IF(livegame!$V$21,"",IF(livegame!$T$20,B1420,A1420))</f>
        <v/>
      </c>
    </row>
    <row r="1421" spans="1:2">
      <c r="A1421" t="str">
        <f>IF(livegame!$V$21,"",IF(A1421&lt;&gt;"",A1421,IF(AND(livegame!$T$20,livegame!$U$20&lt;&gt;"",B1421="",B1420&lt;&gt;""),livegame!$U$20,"")))</f>
        <v/>
      </c>
      <c r="B1421" t="str">
        <f>IF(livegame!$V$21,"",IF(livegame!$T$20,B1421,A1421))</f>
        <v/>
      </c>
    </row>
    <row r="1422" spans="1:2">
      <c r="A1422" t="str">
        <f>IF(livegame!$V$21,"",IF(A1422&lt;&gt;"",A1422,IF(AND(livegame!$T$20,livegame!$U$20&lt;&gt;"",B1422="",B1421&lt;&gt;""),livegame!$U$20,"")))</f>
        <v/>
      </c>
      <c r="B1422" t="str">
        <f>IF(livegame!$V$21,"",IF(livegame!$T$20,B1422,A1422))</f>
        <v/>
      </c>
    </row>
    <row r="1423" spans="1:2">
      <c r="A1423" t="str">
        <f>IF(livegame!$V$21,"",IF(A1423&lt;&gt;"",A1423,IF(AND(livegame!$T$20,livegame!$U$20&lt;&gt;"",B1423="",B1422&lt;&gt;""),livegame!$U$20,"")))</f>
        <v/>
      </c>
      <c r="B1423" t="str">
        <f>IF(livegame!$V$21,"",IF(livegame!$T$20,B1423,A1423))</f>
        <v/>
      </c>
    </row>
    <row r="1424" spans="1:2">
      <c r="A1424" t="str">
        <f>IF(livegame!$V$21,"",IF(A1424&lt;&gt;"",A1424,IF(AND(livegame!$T$20,livegame!$U$20&lt;&gt;"",B1424="",B1423&lt;&gt;""),livegame!$U$20,"")))</f>
        <v/>
      </c>
      <c r="B1424" t="str">
        <f>IF(livegame!$V$21,"",IF(livegame!$T$20,B1424,A1424))</f>
        <v/>
      </c>
    </row>
    <row r="1425" spans="1:2">
      <c r="A1425" t="str">
        <f>IF(livegame!$V$21,"",IF(A1425&lt;&gt;"",A1425,IF(AND(livegame!$T$20,livegame!$U$20&lt;&gt;"",B1425="",B1424&lt;&gt;""),livegame!$U$20,"")))</f>
        <v/>
      </c>
      <c r="B1425" t="str">
        <f>IF(livegame!$V$21,"",IF(livegame!$T$20,B1425,A1425))</f>
        <v/>
      </c>
    </row>
    <row r="1426" spans="1:2">
      <c r="A1426" t="str">
        <f>IF(livegame!$V$21,"",IF(A1426&lt;&gt;"",A1426,IF(AND(livegame!$T$20,livegame!$U$20&lt;&gt;"",B1426="",B1425&lt;&gt;""),livegame!$U$20,"")))</f>
        <v/>
      </c>
      <c r="B1426" t="str">
        <f>IF(livegame!$V$21,"",IF(livegame!$T$20,B1426,A1426))</f>
        <v/>
      </c>
    </row>
    <row r="1427" spans="1:2">
      <c r="A1427" t="str">
        <f>IF(livegame!$V$21,"",IF(A1427&lt;&gt;"",A1427,IF(AND(livegame!$T$20,livegame!$U$20&lt;&gt;"",B1427="",B1426&lt;&gt;""),livegame!$U$20,"")))</f>
        <v/>
      </c>
      <c r="B1427" t="str">
        <f>IF(livegame!$V$21,"",IF(livegame!$T$20,B1427,A1427))</f>
        <v/>
      </c>
    </row>
    <row r="1428" spans="1:2">
      <c r="A1428" t="str">
        <f>IF(livegame!$V$21,"",IF(A1428&lt;&gt;"",A1428,IF(AND(livegame!$T$20,livegame!$U$20&lt;&gt;"",B1428="",B1427&lt;&gt;""),livegame!$U$20,"")))</f>
        <v/>
      </c>
      <c r="B1428" t="str">
        <f>IF(livegame!$V$21,"",IF(livegame!$T$20,B1428,A1428))</f>
        <v/>
      </c>
    </row>
    <row r="1429" spans="1:2">
      <c r="A1429" t="str">
        <f>IF(livegame!$V$21,"",IF(A1429&lt;&gt;"",A1429,IF(AND(livegame!$T$20,livegame!$U$20&lt;&gt;"",B1429="",B1428&lt;&gt;""),livegame!$U$20,"")))</f>
        <v/>
      </c>
      <c r="B1429" t="str">
        <f>IF(livegame!$V$21,"",IF(livegame!$T$20,B1429,A1429))</f>
        <v/>
      </c>
    </row>
    <row r="1430" spans="1:2">
      <c r="A1430" t="str">
        <f>IF(livegame!$V$21,"",IF(A1430&lt;&gt;"",A1430,IF(AND(livegame!$T$20,livegame!$U$20&lt;&gt;"",B1430="",B1429&lt;&gt;""),livegame!$U$20,"")))</f>
        <v/>
      </c>
      <c r="B1430" t="str">
        <f>IF(livegame!$V$21,"",IF(livegame!$T$20,B1430,A1430))</f>
        <v/>
      </c>
    </row>
    <row r="1431" spans="1:2">
      <c r="A1431" t="str">
        <f>IF(livegame!$V$21,"",IF(A1431&lt;&gt;"",A1431,IF(AND(livegame!$T$20,livegame!$U$20&lt;&gt;"",B1431="",B1430&lt;&gt;""),livegame!$U$20,"")))</f>
        <v/>
      </c>
      <c r="B1431" t="str">
        <f>IF(livegame!$V$21,"",IF(livegame!$T$20,B1431,A1431))</f>
        <v/>
      </c>
    </row>
    <row r="1432" spans="1:2">
      <c r="A1432" t="str">
        <f>IF(livegame!$V$21,"",IF(A1432&lt;&gt;"",A1432,IF(AND(livegame!$T$20,livegame!$U$20&lt;&gt;"",B1432="",B1431&lt;&gt;""),livegame!$U$20,"")))</f>
        <v/>
      </c>
      <c r="B1432" t="str">
        <f>IF(livegame!$V$21,"",IF(livegame!$T$20,B1432,A1432))</f>
        <v/>
      </c>
    </row>
    <row r="1433" spans="1:2">
      <c r="A1433" t="str">
        <f>IF(livegame!$V$21,"",IF(A1433&lt;&gt;"",A1433,IF(AND(livegame!$T$20,livegame!$U$20&lt;&gt;"",B1433="",B1432&lt;&gt;""),livegame!$U$20,"")))</f>
        <v/>
      </c>
      <c r="B1433" t="str">
        <f>IF(livegame!$V$21,"",IF(livegame!$T$20,B1433,A1433))</f>
        <v/>
      </c>
    </row>
    <row r="1434" spans="1:2">
      <c r="A1434" t="str">
        <f>IF(livegame!$V$21,"",IF(A1434&lt;&gt;"",A1434,IF(AND(livegame!$T$20,livegame!$U$20&lt;&gt;"",B1434="",B1433&lt;&gt;""),livegame!$U$20,"")))</f>
        <v/>
      </c>
      <c r="B1434" t="str">
        <f>IF(livegame!$V$21,"",IF(livegame!$T$20,B1434,A1434))</f>
        <v/>
      </c>
    </row>
    <row r="1435" spans="1:2">
      <c r="A1435" t="str">
        <f>IF(livegame!$V$21,"",IF(A1435&lt;&gt;"",A1435,IF(AND(livegame!$T$20,livegame!$U$20&lt;&gt;"",B1435="",B1434&lt;&gt;""),livegame!$U$20,"")))</f>
        <v/>
      </c>
      <c r="B1435" t="str">
        <f>IF(livegame!$V$21,"",IF(livegame!$T$20,B1435,A1435))</f>
        <v/>
      </c>
    </row>
    <row r="1436" spans="1:2">
      <c r="A1436" t="str">
        <f>IF(livegame!$V$21,"",IF(A1436&lt;&gt;"",A1436,IF(AND(livegame!$T$20,livegame!$U$20&lt;&gt;"",B1436="",B1435&lt;&gt;""),livegame!$U$20,"")))</f>
        <v/>
      </c>
      <c r="B1436" t="str">
        <f>IF(livegame!$V$21,"",IF(livegame!$T$20,B1436,A1436))</f>
        <v/>
      </c>
    </row>
    <row r="1437" spans="1:2">
      <c r="A1437" t="str">
        <f>IF(livegame!$V$21,"",IF(A1437&lt;&gt;"",A1437,IF(AND(livegame!$T$20,livegame!$U$20&lt;&gt;"",B1437="",B1436&lt;&gt;""),livegame!$U$20,"")))</f>
        <v/>
      </c>
      <c r="B1437" t="str">
        <f>IF(livegame!$V$21,"",IF(livegame!$T$20,B1437,A1437))</f>
        <v/>
      </c>
    </row>
    <row r="1438" spans="1:2">
      <c r="A1438" t="str">
        <f>IF(livegame!$V$21,"",IF(A1438&lt;&gt;"",A1438,IF(AND(livegame!$T$20,livegame!$U$20&lt;&gt;"",B1438="",B1437&lt;&gt;""),livegame!$U$20,"")))</f>
        <v/>
      </c>
      <c r="B1438" t="str">
        <f>IF(livegame!$V$21,"",IF(livegame!$T$20,B1438,A1438))</f>
        <v/>
      </c>
    </row>
    <row r="1439" spans="1:2">
      <c r="A1439" t="str">
        <f>IF(livegame!$V$21,"",IF(A1439&lt;&gt;"",A1439,IF(AND(livegame!$T$20,livegame!$U$20&lt;&gt;"",B1439="",B1438&lt;&gt;""),livegame!$U$20,"")))</f>
        <v/>
      </c>
      <c r="B1439" t="str">
        <f>IF(livegame!$V$21,"",IF(livegame!$T$20,B1439,A1439))</f>
        <v/>
      </c>
    </row>
    <row r="1440" spans="1:2">
      <c r="A1440" t="str">
        <f>IF(livegame!$V$21,"",IF(A1440&lt;&gt;"",A1440,IF(AND(livegame!$T$20,livegame!$U$20&lt;&gt;"",B1440="",B1439&lt;&gt;""),livegame!$U$20,"")))</f>
        <v/>
      </c>
      <c r="B1440" t="str">
        <f>IF(livegame!$V$21,"",IF(livegame!$T$20,B1440,A1440))</f>
        <v/>
      </c>
    </row>
    <row r="1441" spans="1:2">
      <c r="A1441" t="str">
        <f>IF(livegame!$V$21,"",IF(A1441&lt;&gt;"",A1441,IF(AND(livegame!$T$20,livegame!$U$20&lt;&gt;"",B1441="",B1440&lt;&gt;""),livegame!$U$20,"")))</f>
        <v/>
      </c>
      <c r="B1441" t="str">
        <f>IF(livegame!$V$21,"",IF(livegame!$T$20,B1441,A1441))</f>
        <v/>
      </c>
    </row>
    <row r="1442" spans="1:2">
      <c r="A1442" t="str">
        <f>IF(livegame!$V$21,"",IF(A1442&lt;&gt;"",A1442,IF(AND(livegame!$T$20,livegame!$U$20&lt;&gt;"",B1442="",B1441&lt;&gt;""),livegame!$U$20,"")))</f>
        <v/>
      </c>
      <c r="B1442" t="str">
        <f>IF(livegame!$V$21,"",IF(livegame!$T$20,B1442,A1442))</f>
        <v/>
      </c>
    </row>
    <row r="1443" spans="1:2">
      <c r="A1443" t="str">
        <f>IF(livegame!$V$21,"",IF(A1443&lt;&gt;"",A1443,IF(AND(livegame!$T$20,livegame!$U$20&lt;&gt;"",B1443="",B1442&lt;&gt;""),livegame!$U$20,"")))</f>
        <v/>
      </c>
      <c r="B1443" t="str">
        <f>IF(livegame!$V$21,"",IF(livegame!$T$20,B1443,A1443))</f>
        <v/>
      </c>
    </row>
    <row r="1444" spans="1:2">
      <c r="A1444" t="str">
        <f>IF(livegame!$V$21,"",IF(A1444&lt;&gt;"",A1444,IF(AND(livegame!$T$20,livegame!$U$20&lt;&gt;"",B1444="",B1443&lt;&gt;""),livegame!$U$20,"")))</f>
        <v/>
      </c>
      <c r="B1444" t="str">
        <f>IF(livegame!$V$21,"",IF(livegame!$T$20,B1444,A1444))</f>
        <v/>
      </c>
    </row>
    <row r="1445" spans="1:2">
      <c r="A1445" t="str">
        <f>IF(livegame!$V$21,"",IF(A1445&lt;&gt;"",A1445,IF(AND(livegame!$T$20,livegame!$U$20&lt;&gt;"",B1445="",B1444&lt;&gt;""),livegame!$U$20,"")))</f>
        <v/>
      </c>
      <c r="B1445" t="str">
        <f>IF(livegame!$V$21,"",IF(livegame!$T$20,B1445,A1445))</f>
        <v/>
      </c>
    </row>
    <row r="1446" spans="1:2">
      <c r="A1446" t="str">
        <f>IF(livegame!$V$21,"",IF(A1446&lt;&gt;"",A1446,IF(AND(livegame!$T$20,livegame!$U$20&lt;&gt;"",B1446="",B1445&lt;&gt;""),livegame!$U$20,"")))</f>
        <v/>
      </c>
      <c r="B1446" t="str">
        <f>IF(livegame!$V$21,"",IF(livegame!$T$20,B1446,A1446))</f>
        <v/>
      </c>
    </row>
    <row r="1447" spans="1:2">
      <c r="A1447" t="str">
        <f>IF(livegame!$V$21,"",IF(A1447&lt;&gt;"",A1447,IF(AND(livegame!$T$20,livegame!$U$20&lt;&gt;"",B1447="",B1446&lt;&gt;""),livegame!$U$20,"")))</f>
        <v/>
      </c>
      <c r="B1447" t="str">
        <f>IF(livegame!$V$21,"",IF(livegame!$T$20,B1447,A1447))</f>
        <v/>
      </c>
    </row>
    <row r="1448" spans="1:2">
      <c r="A1448" t="str">
        <f>IF(livegame!$V$21,"",IF(A1448&lt;&gt;"",A1448,IF(AND(livegame!$T$20,livegame!$U$20&lt;&gt;"",B1448="",B1447&lt;&gt;""),livegame!$U$20,"")))</f>
        <v/>
      </c>
      <c r="B1448" t="str">
        <f>IF(livegame!$V$21,"",IF(livegame!$T$20,B1448,A1448))</f>
        <v/>
      </c>
    </row>
    <row r="1449" spans="1:2">
      <c r="A1449" t="str">
        <f>IF(livegame!$V$21,"",IF(A1449&lt;&gt;"",A1449,IF(AND(livegame!$T$20,livegame!$U$20&lt;&gt;"",B1449="",B1448&lt;&gt;""),livegame!$U$20,"")))</f>
        <v/>
      </c>
      <c r="B1449" t="str">
        <f>IF(livegame!$V$21,"",IF(livegame!$T$20,B1449,A1449))</f>
        <v/>
      </c>
    </row>
    <row r="1450" spans="1:2">
      <c r="A1450" t="str">
        <f>IF(livegame!$V$21,"",IF(A1450&lt;&gt;"",A1450,IF(AND(livegame!$T$20,livegame!$U$20&lt;&gt;"",B1450="",B1449&lt;&gt;""),livegame!$U$20,"")))</f>
        <v/>
      </c>
      <c r="B1450" t="str">
        <f>IF(livegame!$V$21,"",IF(livegame!$T$20,B1450,A1450))</f>
        <v/>
      </c>
    </row>
    <row r="1451" spans="1:2">
      <c r="A1451" t="str">
        <f>IF(livegame!$V$21,"",IF(A1451&lt;&gt;"",A1451,IF(AND(livegame!$T$20,livegame!$U$20&lt;&gt;"",B1451="",B1450&lt;&gt;""),livegame!$U$20,"")))</f>
        <v/>
      </c>
      <c r="B1451" t="str">
        <f>IF(livegame!$V$21,"",IF(livegame!$T$20,B1451,A1451))</f>
        <v/>
      </c>
    </row>
    <row r="1452" spans="1:2">
      <c r="A1452" t="str">
        <f>IF(livegame!$V$21,"",IF(A1452&lt;&gt;"",A1452,IF(AND(livegame!$T$20,livegame!$U$20&lt;&gt;"",B1452="",B1451&lt;&gt;""),livegame!$U$20,"")))</f>
        <v/>
      </c>
      <c r="B1452" t="str">
        <f>IF(livegame!$V$21,"",IF(livegame!$T$20,B1452,A1452))</f>
        <v/>
      </c>
    </row>
    <row r="1453" spans="1:2">
      <c r="A1453" t="str">
        <f>IF(livegame!$V$21,"",IF(A1453&lt;&gt;"",A1453,IF(AND(livegame!$T$20,livegame!$U$20&lt;&gt;"",B1453="",B1452&lt;&gt;""),livegame!$U$20,"")))</f>
        <v/>
      </c>
      <c r="B1453" t="str">
        <f>IF(livegame!$V$21,"",IF(livegame!$T$20,B1453,A1453))</f>
        <v/>
      </c>
    </row>
    <row r="1454" spans="1:2">
      <c r="A1454" t="str">
        <f>IF(livegame!$V$21,"",IF(A1454&lt;&gt;"",A1454,IF(AND(livegame!$T$20,livegame!$U$20&lt;&gt;"",B1454="",B1453&lt;&gt;""),livegame!$U$20,"")))</f>
        <v/>
      </c>
      <c r="B1454" t="str">
        <f>IF(livegame!$V$21,"",IF(livegame!$T$20,B1454,A1454))</f>
        <v/>
      </c>
    </row>
    <row r="1455" spans="1:2">
      <c r="A1455" t="str">
        <f>IF(livegame!$V$21,"",IF(A1455&lt;&gt;"",A1455,IF(AND(livegame!$T$20,livegame!$U$20&lt;&gt;"",B1455="",B1454&lt;&gt;""),livegame!$U$20,"")))</f>
        <v/>
      </c>
      <c r="B1455" t="str">
        <f>IF(livegame!$V$21,"",IF(livegame!$T$20,B1455,A1455))</f>
        <v/>
      </c>
    </row>
    <row r="1456" spans="1:2">
      <c r="A1456" t="str">
        <f>IF(livegame!$V$21,"",IF(A1456&lt;&gt;"",A1456,IF(AND(livegame!$T$20,livegame!$U$20&lt;&gt;"",B1456="",B1455&lt;&gt;""),livegame!$U$20,"")))</f>
        <v/>
      </c>
      <c r="B1456" t="str">
        <f>IF(livegame!$V$21,"",IF(livegame!$T$20,B1456,A1456))</f>
        <v/>
      </c>
    </row>
    <row r="1457" spans="1:2">
      <c r="A1457" t="str">
        <f>IF(livegame!$V$21,"",IF(A1457&lt;&gt;"",A1457,IF(AND(livegame!$T$20,livegame!$U$20&lt;&gt;"",B1457="",B1456&lt;&gt;""),livegame!$U$20,"")))</f>
        <v/>
      </c>
      <c r="B1457" t="str">
        <f>IF(livegame!$V$21,"",IF(livegame!$T$20,B1457,A1457))</f>
        <v/>
      </c>
    </row>
    <row r="1458" spans="1:2">
      <c r="A1458" t="str">
        <f>IF(livegame!$V$21,"",IF(A1458&lt;&gt;"",A1458,IF(AND(livegame!$T$20,livegame!$U$20&lt;&gt;"",B1458="",B1457&lt;&gt;""),livegame!$U$20,"")))</f>
        <v/>
      </c>
      <c r="B1458" t="str">
        <f>IF(livegame!$V$21,"",IF(livegame!$T$20,B1458,A1458))</f>
        <v/>
      </c>
    </row>
    <row r="1459" spans="1:2">
      <c r="A1459" t="str">
        <f>IF(livegame!$V$21,"",IF(A1459&lt;&gt;"",A1459,IF(AND(livegame!$T$20,livegame!$U$20&lt;&gt;"",B1459="",B1458&lt;&gt;""),livegame!$U$20,"")))</f>
        <v/>
      </c>
      <c r="B1459" t="str">
        <f>IF(livegame!$V$21,"",IF(livegame!$T$20,B1459,A1459))</f>
        <v/>
      </c>
    </row>
    <row r="1460" spans="1:2">
      <c r="A1460" t="str">
        <f>IF(livegame!$V$21,"",IF(A1460&lt;&gt;"",A1460,IF(AND(livegame!$T$20,livegame!$U$20&lt;&gt;"",B1460="",B1459&lt;&gt;""),livegame!$U$20,"")))</f>
        <v/>
      </c>
      <c r="B1460" t="str">
        <f>IF(livegame!$V$21,"",IF(livegame!$T$20,B1460,A1460))</f>
        <v/>
      </c>
    </row>
    <row r="1461" spans="1:2">
      <c r="A1461" t="str">
        <f>IF(livegame!$V$21,"",IF(A1461&lt;&gt;"",A1461,IF(AND(livegame!$T$20,livegame!$U$20&lt;&gt;"",B1461="",B1460&lt;&gt;""),livegame!$U$20,"")))</f>
        <v/>
      </c>
      <c r="B1461" t="str">
        <f>IF(livegame!$V$21,"",IF(livegame!$T$20,B1461,A1461))</f>
        <v/>
      </c>
    </row>
    <row r="1462" spans="1:2">
      <c r="A1462" t="str">
        <f>IF(livegame!$V$21,"",IF(A1462&lt;&gt;"",A1462,IF(AND(livegame!$T$20,livegame!$U$20&lt;&gt;"",B1462="",B1461&lt;&gt;""),livegame!$U$20,"")))</f>
        <v/>
      </c>
      <c r="B1462" t="str">
        <f>IF(livegame!$V$21,"",IF(livegame!$T$20,B1462,A1462))</f>
        <v/>
      </c>
    </row>
    <row r="1463" spans="1:2">
      <c r="A1463" t="str">
        <f>IF(livegame!$V$21,"",IF(A1463&lt;&gt;"",A1463,IF(AND(livegame!$T$20,livegame!$U$20&lt;&gt;"",B1463="",B1462&lt;&gt;""),livegame!$U$20,"")))</f>
        <v/>
      </c>
      <c r="B1463" t="str">
        <f>IF(livegame!$V$21,"",IF(livegame!$T$20,B1463,A1463))</f>
        <v/>
      </c>
    </row>
    <row r="1464" spans="1:2">
      <c r="A1464" t="str">
        <f>IF(livegame!$V$21,"",IF(A1464&lt;&gt;"",A1464,IF(AND(livegame!$T$20,livegame!$U$20&lt;&gt;"",B1464="",B1463&lt;&gt;""),livegame!$U$20,"")))</f>
        <v/>
      </c>
      <c r="B1464" t="str">
        <f>IF(livegame!$V$21,"",IF(livegame!$T$20,B1464,A1464))</f>
        <v/>
      </c>
    </row>
    <row r="1465" spans="1:2">
      <c r="A1465" t="str">
        <f>IF(livegame!$V$21,"",IF(A1465&lt;&gt;"",A1465,IF(AND(livegame!$T$20,livegame!$U$20&lt;&gt;"",B1465="",B1464&lt;&gt;""),livegame!$U$20,"")))</f>
        <v/>
      </c>
      <c r="B1465" t="str">
        <f>IF(livegame!$V$21,"",IF(livegame!$T$20,B1465,A1465))</f>
        <v/>
      </c>
    </row>
    <row r="1466" spans="1:2">
      <c r="A1466" t="str">
        <f>IF(livegame!$V$21,"",IF(A1466&lt;&gt;"",A1466,IF(AND(livegame!$T$20,livegame!$U$20&lt;&gt;"",B1466="",B1465&lt;&gt;""),livegame!$U$20,"")))</f>
        <v/>
      </c>
      <c r="B1466" t="str">
        <f>IF(livegame!$V$21,"",IF(livegame!$T$20,B1466,A1466))</f>
        <v/>
      </c>
    </row>
    <row r="1467" spans="1:2">
      <c r="A1467" t="str">
        <f>IF(livegame!$V$21,"",IF(A1467&lt;&gt;"",A1467,IF(AND(livegame!$T$20,livegame!$U$20&lt;&gt;"",B1467="",B1466&lt;&gt;""),livegame!$U$20,"")))</f>
        <v/>
      </c>
      <c r="B1467" t="str">
        <f>IF(livegame!$V$21,"",IF(livegame!$T$20,B1467,A1467))</f>
        <v/>
      </c>
    </row>
    <row r="1468" spans="1:2">
      <c r="A1468" t="str">
        <f>IF(livegame!$V$21,"",IF(A1468&lt;&gt;"",A1468,IF(AND(livegame!$T$20,livegame!$U$20&lt;&gt;"",B1468="",B1467&lt;&gt;""),livegame!$U$20,"")))</f>
        <v/>
      </c>
      <c r="B1468" t="str">
        <f>IF(livegame!$V$21,"",IF(livegame!$T$20,B1468,A1468))</f>
        <v/>
      </c>
    </row>
    <row r="1469" spans="1:2">
      <c r="A1469" t="str">
        <f>IF(livegame!$V$21,"",IF(A1469&lt;&gt;"",A1469,IF(AND(livegame!$T$20,livegame!$U$20&lt;&gt;"",B1469="",B1468&lt;&gt;""),livegame!$U$20,"")))</f>
        <v/>
      </c>
      <c r="B1469" t="str">
        <f>IF(livegame!$V$21,"",IF(livegame!$T$20,B1469,A1469))</f>
        <v/>
      </c>
    </row>
    <row r="1470" spans="1:2">
      <c r="A1470" t="str">
        <f>IF(livegame!$V$21,"",IF(A1470&lt;&gt;"",A1470,IF(AND(livegame!$T$20,livegame!$U$20&lt;&gt;"",B1470="",B1469&lt;&gt;""),livegame!$U$20,"")))</f>
        <v/>
      </c>
      <c r="B1470" t="str">
        <f>IF(livegame!$V$21,"",IF(livegame!$T$20,B1470,A1470))</f>
        <v/>
      </c>
    </row>
    <row r="1471" spans="1:2">
      <c r="A1471" t="str">
        <f>IF(livegame!$V$21,"",IF(A1471&lt;&gt;"",A1471,IF(AND(livegame!$T$20,livegame!$U$20&lt;&gt;"",B1471="",B1470&lt;&gt;""),livegame!$U$20,"")))</f>
        <v/>
      </c>
      <c r="B1471" t="str">
        <f>IF(livegame!$V$21,"",IF(livegame!$T$20,B1471,A1471))</f>
        <v/>
      </c>
    </row>
    <row r="1472" spans="1:2">
      <c r="A1472" t="str">
        <f>IF(livegame!$V$21,"",IF(A1472&lt;&gt;"",A1472,IF(AND(livegame!$T$20,livegame!$U$20&lt;&gt;"",B1472="",B1471&lt;&gt;""),livegame!$U$20,"")))</f>
        <v/>
      </c>
      <c r="B1472" t="str">
        <f>IF(livegame!$V$21,"",IF(livegame!$T$20,B1472,A1472))</f>
        <v/>
      </c>
    </row>
    <row r="1473" spans="1:2">
      <c r="A1473" t="str">
        <f>IF(livegame!$V$21,"",IF(A1473&lt;&gt;"",A1473,IF(AND(livegame!$T$20,livegame!$U$20&lt;&gt;"",B1473="",B1472&lt;&gt;""),livegame!$U$20,"")))</f>
        <v/>
      </c>
      <c r="B1473" t="str">
        <f>IF(livegame!$V$21,"",IF(livegame!$T$20,B1473,A1473))</f>
        <v/>
      </c>
    </row>
    <row r="1474" spans="1:2">
      <c r="A1474" t="str">
        <f>IF(livegame!$V$21,"",IF(A1474&lt;&gt;"",A1474,IF(AND(livegame!$T$20,livegame!$U$20&lt;&gt;"",B1474="",B1473&lt;&gt;""),livegame!$U$20,"")))</f>
        <v/>
      </c>
      <c r="B1474" t="str">
        <f>IF(livegame!$V$21,"",IF(livegame!$T$20,B1474,A1474))</f>
        <v/>
      </c>
    </row>
    <row r="1475" spans="1:2">
      <c r="A1475" t="str">
        <f>IF(livegame!$V$21,"",IF(A1475&lt;&gt;"",A1475,IF(AND(livegame!$T$20,livegame!$U$20&lt;&gt;"",B1475="",B1474&lt;&gt;""),livegame!$U$20,"")))</f>
        <v/>
      </c>
      <c r="B1475" t="str">
        <f>IF(livegame!$V$21,"",IF(livegame!$T$20,B1475,A1475))</f>
        <v/>
      </c>
    </row>
    <row r="1476" spans="1:2">
      <c r="A1476" t="str">
        <f>IF(livegame!$V$21,"",IF(A1476&lt;&gt;"",A1476,IF(AND(livegame!$T$20,livegame!$U$20&lt;&gt;"",B1476="",B1475&lt;&gt;""),livegame!$U$20,"")))</f>
        <v/>
      </c>
      <c r="B1476" t="str">
        <f>IF(livegame!$V$21,"",IF(livegame!$T$20,B1476,A1476))</f>
        <v/>
      </c>
    </row>
    <row r="1477" spans="1:2">
      <c r="A1477" t="str">
        <f>IF(livegame!$V$21,"",IF(A1477&lt;&gt;"",A1477,IF(AND(livegame!$T$20,livegame!$U$20&lt;&gt;"",B1477="",B1476&lt;&gt;""),livegame!$U$20,"")))</f>
        <v/>
      </c>
      <c r="B1477" t="str">
        <f>IF(livegame!$V$21,"",IF(livegame!$T$20,B1477,A1477))</f>
        <v/>
      </c>
    </row>
    <row r="1478" spans="1:2">
      <c r="A1478" t="str">
        <f>IF(livegame!$V$21,"",IF(A1478&lt;&gt;"",A1478,IF(AND(livegame!$T$20,livegame!$U$20&lt;&gt;"",B1478="",B1477&lt;&gt;""),livegame!$U$20,"")))</f>
        <v/>
      </c>
      <c r="B1478" t="str">
        <f>IF(livegame!$V$21,"",IF(livegame!$T$20,B1478,A1478))</f>
        <v/>
      </c>
    </row>
    <row r="1479" spans="1:2">
      <c r="A1479" t="str">
        <f>IF(livegame!$V$21,"",IF(A1479&lt;&gt;"",A1479,IF(AND(livegame!$T$20,livegame!$U$20&lt;&gt;"",B1479="",B1478&lt;&gt;""),livegame!$U$20,"")))</f>
        <v/>
      </c>
      <c r="B1479" t="str">
        <f>IF(livegame!$V$21,"",IF(livegame!$T$20,B1479,A1479))</f>
        <v/>
      </c>
    </row>
    <row r="1480" spans="1:2">
      <c r="A1480" t="str">
        <f>IF(livegame!$V$21,"",IF(A1480&lt;&gt;"",A1480,IF(AND(livegame!$T$20,livegame!$U$20&lt;&gt;"",B1480="",B1479&lt;&gt;""),livegame!$U$20,"")))</f>
        <v/>
      </c>
      <c r="B1480" t="str">
        <f>IF(livegame!$V$21,"",IF(livegame!$T$20,B1480,A1480))</f>
        <v/>
      </c>
    </row>
    <row r="1481" spans="1:2">
      <c r="A1481" t="str">
        <f>IF(livegame!$V$21,"",IF(A1481&lt;&gt;"",A1481,IF(AND(livegame!$T$20,livegame!$U$20&lt;&gt;"",B1481="",B1480&lt;&gt;""),livegame!$U$20,"")))</f>
        <v/>
      </c>
      <c r="B1481" t="str">
        <f>IF(livegame!$V$21,"",IF(livegame!$T$20,B1481,A1481))</f>
        <v/>
      </c>
    </row>
    <row r="1482" spans="1:2">
      <c r="A1482" t="str">
        <f>IF(livegame!$V$21,"",IF(A1482&lt;&gt;"",A1482,IF(AND(livegame!$T$20,livegame!$U$20&lt;&gt;"",B1482="",B1481&lt;&gt;""),livegame!$U$20,"")))</f>
        <v/>
      </c>
      <c r="B1482" t="str">
        <f>IF(livegame!$V$21,"",IF(livegame!$T$20,B1482,A1482))</f>
        <v/>
      </c>
    </row>
    <row r="1483" spans="1:2">
      <c r="A1483" t="str">
        <f>IF(livegame!$V$21,"",IF(A1483&lt;&gt;"",A1483,IF(AND(livegame!$T$20,livegame!$U$20&lt;&gt;"",B1483="",B1482&lt;&gt;""),livegame!$U$20,"")))</f>
        <v/>
      </c>
      <c r="B1483" t="str">
        <f>IF(livegame!$V$21,"",IF(livegame!$T$20,B1483,A1483))</f>
        <v/>
      </c>
    </row>
    <row r="1484" spans="1:2">
      <c r="A1484" t="str">
        <f>IF(livegame!$V$21,"",IF(A1484&lt;&gt;"",A1484,IF(AND(livegame!$T$20,livegame!$U$20&lt;&gt;"",B1484="",B1483&lt;&gt;""),livegame!$U$20,"")))</f>
        <v/>
      </c>
      <c r="B1484" t="str">
        <f>IF(livegame!$V$21,"",IF(livegame!$T$20,B1484,A1484))</f>
        <v/>
      </c>
    </row>
    <row r="1485" spans="1:2">
      <c r="A1485" t="str">
        <f>IF(livegame!$V$21,"",IF(A1485&lt;&gt;"",A1485,IF(AND(livegame!$T$20,livegame!$U$20&lt;&gt;"",B1485="",B1484&lt;&gt;""),livegame!$U$20,"")))</f>
        <v/>
      </c>
      <c r="B1485" t="str">
        <f>IF(livegame!$V$21,"",IF(livegame!$T$20,B1485,A1485))</f>
        <v/>
      </c>
    </row>
    <row r="1486" spans="1:2">
      <c r="A1486" t="str">
        <f>IF(livegame!$V$21,"",IF(A1486&lt;&gt;"",A1486,IF(AND(livegame!$T$20,livegame!$U$20&lt;&gt;"",B1486="",B1485&lt;&gt;""),livegame!$U$20,"")))</f>
        <v/>
      </c>
      <c r="B1486" t="str">
        <f>IF(livegame!$V$21,"",IF(livegame!$T$20,B1486,A1486))</f>
        <v/>
      </c>
    </row>
    <row r="1487" spans="1:2">
      <c r="A1487" t="str">
        <f>IF(livegame!$V$21,"",IF(A1487&lt;&gt;"",A1487,IF(AND(livegame!$T$20,livegame!$U$20&lt;&gt;"",B1487="",B1486&lt;&gt;""),livegame!$U$20,"")))</f>
        <v/>
      </c>
      <c r="B1487" t="str">
        <f>IF(livegame!$V$21,"",IF(livegame!$T$20,B1487,A1487))</f>
        <v/>
      </c>
    </row>
    <row r="1488" spans="1:2">
      <c r="A1488" t="str">
        <f>IF(livegame!$V$21,"",IF(A1488&lt;&gt;"",A1488,IF(AND(livegame!$T$20,livegame!$U$20&lt;&gt;"",B1488="",B1487&lt;&gt;""),livegame!$U$20,"")))</f>
        <v/>
      </c>
      <c r="B1488" t="str">
        <f>IF(livegame!$V$21,"",IF(livegame!$T$20,B1488,A1488))</f>
        <v/>
      </c>
    </row>
    <row r="1489" spans="1:2">
      <c r="A1489" t="str">
        <f>IF(livegame!$V$21,"",IF(A1489&lt;&gt;"",A1489,IF(AND(livegame!$T$20,livegame!$U$20&lt;&gt;"",B1489="",B1488&lt;&gt;""),livegame!$U$20,"")))</f>
        <v/>
      </c>
      <c r="B1489" t="str">
        <f>IF(livegame!$V$21,"",IF(livegame!$T$20,B1489,A1489))</f>
        <v/>
      </c>
    </row>
    <row r="1490" spans="1:2">
      <c r="A1490" t="str">
        <f>IF(livegame!$V$21,"",IF(A1490&lt;&gt;"",A1490,IF(AND(livegame!$T$20,livegame!$U$20&lt;&gt;"",B1490="",B1489&lt;&gt;""),livegame!$U$20,"")))</f>
        <v/>
      </c>
      <c r="B1490" t="str">
        <f>IF(livegame!$V$21,"",IF(livegame!$T$20,B1490,A1490))</f>
        <v/>
      </c>
    </row>
    <row r="1491" spans="1:2">
      <c r="A1491" t="str">
        <f>IF(livegame!$V$21,"",IF(A1491&lt;&gt;"",A1491,IF(AND(livegame!$T$20,livegame!$U$20&lt;&gt;"",B1491="",B1490&lt;&gt;""),livegame!$U$20,"")))</f>
        <v/>
      </c>
      <c r="B1491" t="str">
        <f>IF(livegame!$V$21,"",IF(livegame!$T$20,B1491,A1491))</f>
        <v/>
      </c>
    </row>
    <row r="1492" spans="1:2">
      <c r="A1492" t="str">
        <f>IF(livegame!$V$21,"",IF(A1492&lt;&gt;"",A1492,IF(AND(livegame!$T$20,livegame!$U$20&lt;&gt;"",B1492="",B1491&lt;&gt;""),livegame!$U$20,"")))</f>
        <v/>
      </c>
      <c r="B1492" t="str">
        <f>IF(livegame!$V$21,"",IF(livegame!$T$20,B1492,A1492))</f>
        <v/>
      </c>
    </row>
    <row r="1493" spans="1:2">
      <c r="A1493" t="str">
        <f>IF(livegame!$V$21,"",IF(A1493&lt;&gt;"",A1493,IF(AND(livegame!$T$20,livegame!$U$20&lt;&gt;"",B1493="",B1492&lt;&gt;""),livegame!$U$20,"")))</f>
        <v/>
      </c>
      <c r="B1493" t="str">
        <f>IF(livegame!$V$21,"",IF(livegame!$T$20,B1493,A1493))</f>
        <v/>
      </c>
    </row>
    <row r="1494" spans="1:2">
      <c r="A1494" t="str">
        <f>IF(livegame!$V$21,"",IF(A1494&lt;&gt;"",A1494,IF(AND(livegame!$T$20,livegame!$U$20&lt;&gt;"",B1494="",B1493&lt;&gt;""),livegame!$U$20,"")))</f>
        <v/>
      </c>
      <c r="B1494" t="str">
        <f>IF(livegame!$V$21,"",IF(livegame!$T$20,B1494,A1494))</f>
        <v/>
      </c>
    </row>
    <row r="1495" spans="1:2">
      <c r="A1495" t="str">
        <f>IF(livegame!$V$21,"",IF(A1495&lt;&gt;"",A1495,IF(AND(livegame!$T$20,livegame!$U$20&lt;&gt;"",B1495="",B1494&lt;&gt;""),livegame!$U$20,"")))</f>
        <v/>
      </c>
      <c r="B1495" t="str">
        <f>IF(livegame!$V$21,"",IF(livegame!$T$20,B1495,A1495))</f>
        <v/>
      </c>
    </row>
    <row r="1496" spans="1:2">
      <c r="A1496" t="str">
        <f>IF(livegame!$V$21,"",IF(A1496&lt;&gt;"",A1496,IF(AND(livegame!$T$20,livegame!$U$20&lt;&gt;"",B1496="",B1495&lt;&gt;""),livegame!$U$20,"")))</f>
        <v/>
      </c>
      <c r="B1496" t="str">
        <f>IF(livegame!$V$21,"",IF(livegame!$T$20,B1496,A1496))</f>
        <v/>
      </c>
    </row>
    <row r="1497" spans="1:2">
      <c r="A1497" t="str">
        <f>IF(livegame!$V$21,"",IF(A1497&lt;&gt;"",A1497,IF(AND(livegame!$T$20,livegame!$U$20&lt;&gt;"",B1497="",B1496&lt;&gt;""),livegame!$U$20,"")))</f>
        <v/>
      </c>
      <c r="B1497" t="str">
        <f>IF(livegame!$V$21,"",IF(livegame!$T$20,B1497,A1497))</f>
        <v/>
      </c>
    </row>
    <row r="1498" spans="1:2">
      <c r="A1498" t="str">
        <f>IF(livegame!$V$21,"",IF(A1498&lt;&gt;"",A1498,IF(AND(livegame!$T$20,livegame!$U$20&lt;&gt;"",B1498="",B1497&lt;&gt;""),livegame!$U$20,"")))</f>
        <v/>
      </c>
      <c r="B1498" t="str">
        <f>IF(livegame!$V$21,"",IF(livegame!$T$20,B1498,A1498))</f>
        <v/>
      </c>
    </row>
    <row r="1499" spans="1:2">
      <c r="A1499" t="str">
        <f>IF(livegame!$V$21,"",IF(A1499&lt;&gt;"",A1499,IF(AND(livegame!$T$20,livegame!$U$20&lt;&gt;"",B1499="",B1498&lt;&gt;""),livegame!$U$20,"")))</f>
        <v/>
      </c>
      <c r="B1499" t="str">
        <f>IF(livegame!$V$21,"",IF(livegame!$T$20,B1499,A1499))</f>
        <v/>
      </c>
    </row>
    <row r="1500" spans="1:2">
      <c r="A1500" t="str">
        <f>IF(livegame!$V$21,"",IF(A1500&lt;&gt;"",A1500,IF(AND(livegame!$T$20,livegame!$U$20&lt;&gt;"",B1500="",B1499&lt;&gt;""),livegame!$U$20,"")))</f>
        <v/>
      </c>
      <c r="B1500" t="str">
        <f>IF(livegame!$V$21,"",IF(livegame!$T$20,B1500,A1500))</f>
        <v/>
      </c>
    </row>
    <row r="1501" spans="1:2">
      <c r="A1501" t="str">
        <f>IF(livegame!$V$21,"",IF(A1501&lt;&gt;"",A1501,IF(AND(livegame!$T$20,livegame!$U$20&lt;&gt;"",B1501="",B1500&lt;&gt;""),livegame!$U$20,"")))</f>
        <v/>
      </c>
      <c r="B1501" t="str">
        <f>IF(livegame!$V$21,"",IF(livegame!$T$20,B1501,A1501))</f>
        <v/>
      </c>
    </row>
    <row r="1502" spans="1:2">
      <c r="A1502" t="str">
        <f>IF(livegame!$V$21,"",IF(A1502&lt;&gt;"",A1502,IF(AND(livegame!$T$20,livegame!$U$20&lt;&gt;"",B1502="",B1501&lt;&gt;""),livegame!$U$20,"")))</f>
        <v/>
      </c>
      <c r="B1502" t="str">
        <f>IF(livegame!$V$21,"",IF(livegame!$T$20,B1502,A1502))</f>
        <v/>
      </c>
    </row>
    <row r="1503" spans="1:2">
      <c r="A1503" t="str">
        <f>IF(livegame!$V$21,"",IF(A1503&lt;&gt;"",A1503,IF(AND(livegame!$T$20,livegame!$U$20&lt;&gt;"",B1503="",B1502&lt;&gt;""),livegame!$U$20,"")))</f>
        <v/>
      </c>
      <c r="B1503" t="str">
        <f>IF(livegame!$V$21,"",IF(livegame!$T$20,B1503,A1503))</f>
        <v/>
      </c>
    </row>
    <row r="1504" spans="1:2">
      <c r="A1504" t="str">
        <f>IF(livegame!$V$21,"",IF(A1504&lt;&gt;"",A1504,IF(AND(livegame!$T$20,livegame!$U$20&lt;&gt;"",B1504="",B1503&lt;&gt;""),livegame!$U$20,"")))</f>
        <v/>
      </c>
      <c r="B1504" t="str">
        <f>IF(livegame!$V$21,"",IF(livegame!$T$20,B1504,A1504))</f>
        <v/>
      </c>
    </row>
    <row r="1505" spans="1:2">
      <c r="A1505" t="str">
        <f>IF(livegame!$V$21,"",IF(A1505&lt;&gt;"",A1505,IF(AND(livegame!$T$20,livegame!$U$20&lt;&gt;"",B1505="",B1504&lt;&gt;""),livegame!$U$20,"")))</f>
        <v/>
      </c>
      <c r="B1505" t="str">
        <f>IF(livegame!$V$21,"",IF(livegame!$T$20,B1505,A1505))</f>
        <v/>
      </c>
    </row>
    <row r="1506" spans="1:2">
      <c r="A1506" t="str">
        <f>IF(livegame!$V$21,"",IF(A1506&lt;&gt;"",A1506,IF(AND(livegame!$T$20,livegame!$U$20&lt;&gt;"",B1506="",B1505&lt;&gt;""),livegame!$U$20,"")))</f>
        <v/>
      </c>
      <c r="B1506" t="str">
        <f>IF(livegame!$V$21,"",IF(livegame!$T$20,B1506,A1506))</f>
        <v/>
      </c>
    </row>
    <row r="1507" spans="1:2">
      <c r="A1507" t="str">
        <f>IF(livegame!$V$21,"",IF(A1507&lt;&gt;"",A1507,IF(AND(livegame!$T$20,livegame!$U$20&lt;&gt;"",B1507="",B1506&lt;&gt;""),livegame!$U$20,"")))</f>
        <v/>
      </c>
      <c r="B1507" t="str">
        <f>IF(livegame!$V$21,"",IF(livegame!$T$20,B1507,A1507))</f>
        <v/>
      </c>
    </row>
    <row r="1508" spans="1:2">
      <c r="A1508" t="str">
        <f>IF(livegame!$V$21,"",IF(A1508&lt;&gt;"",A1508,IF(AND(livegame!$T$20,livegame!$U$20&lt;&gt;"",B1508="",B1507&lt;&gt;""),livegame!$U$20,"")))</f>
        <v/>
      </c>
      <c r="B1508" t="str">
        <f>IF(livegame!$V$21,"",IF(livegame!$T$20,B1508,A1508))</f>
        <v/>
      </c>
    </row>
    <row r="1509" spans="1:2">
      <c r="A1509" t="str">
        <f>IF(livegame!$V$21,"",IF(A1509&lt;&gt;"",A1509,IF(AND(livegame!$T$20,livegame!$U$20&lt;&gt;"",B1509="",B1508&lt;&gt;""),livegame!$U$20,"")))</f>
        <v/>
      </c>
      <c r="B1509" t="str">
        <f>IF(livegame!$V$21,"",IF(livegame!$T$20,B1509,A1509))</f>
        <v/>
      </c>
    </row>
    <row r="1510" spans="1:2">
      <c r="A1510" t="str">
        <f>IF(livegame!$V$21,"",IF(A1510&lt;&gt;"",A1510,IF(AND(livegame!$T$20,livegame!$U$20&lt;&gt;"",B1510="",B1509&lt;&gt;""),livegame!$U$20,"")))</f>
        <v/>
      </c>
      <c r="B1510" t="str">
        <f>IF(livegame!$V$21,"",IF(livegame!$T$20,B1510,A1510))</f>
        <v/>
      </c>
    </row>
    <row r="1511" spans="1:2">
      <c r="A1511" t="str">
        <f>IF(livegame!$V$21,"",IF(A1511&lt;&gt;"",A1511,IF(AND(livegame!$T$20,livegame!$U$20&lt;&gt;"",B1511="",B1510&lt;&gt;""),livegame!$U$20,"")))</f>
        <v/>
      </c>
      <c r="B1511" t="str">
        <f>IF(livegame!$V$21,"",IF(livegame!$T$20,B1511,A1511))</f>
        <v/>
      </c>
    </row>
    <row r="1512" spans="1:2">
      <c r="A1512" t="str">
        <f>IF(livegame!$V$21,"",IF(A1512&lt;&gt;"",A1512,IF(AND(livegame!$T$20,livegame!$U$20&lt;&gt;"",B1512="",B1511&lt;&gt;""),livegame!$U$20,"")))</f>
        <v/>
      </c>
      <c r="B1512" t="str">
        <f>IF(livegame!$V$21,"",IF(livegame!$T$20,B1512,A1512))</f>
        <v/>
      </c>
    </row>
    <row r="1513" spans="1:2">
      <c r="A1513" t="str">
        <f>IF(livegame!$V$21,"",IF(A1513&lt;&gt;"",A1513,IF(AND(livegame!$T$20,livegame!$U$20&lt;&gt;"",B1513="",B1512&lt;&gt;""),livegame!$U$20,"")))</f>
        <v/>
      </c>
      <c r="B1513" t="str">
        <f>IF(livegame!$V$21,"",IF(livegame!$T$20,B1513,A1513))</f>
        <v/>
      </c>
    </row>
    <row r="1514" spans="1:2">
      <c r="A1514" t="str">
        <f>IF(livegame!$V$21,"",IF(A1514&lt;&gt;"",A1514,IF(AND(livegame!$T$20,livegame!$U$20&lt;&gt;"",B1514="",B1513&lt;&gt;""),livegame!$U$20,"")))</f>
        <v/>
      </c>
      <c r="B1514" t="str">
        <f>IF(livegame!$V$21,"",IF(livegame!$T$20,B1514,A1514))</f>
        <v/>
      </c>
    </row>
    <row r="1515" spans="1:2">
      <c r="A1515" t="str">
        <f>IF(livegame!$V$21,"",IF(A1515&lt;&gt;"",A1515,IF(AND(livegame!$T$20,livegame!$U$20&lt;&gt;"",B1515="",B1514&lt;&gt;""),livegame!$U$20,"")))</f>
        <v/>
      </c>
      <c r="B1515" t="str">
        <f>IF(livegame!$V$21,"",IF(livegame!$T$20,B1515,A1515))</f>
        <v/>
      </c>
    </row>
    <row r="1516" spans="1:2">
      <c r="A1516" t="str">
        <f>IF(livegame!$V$21,"",IF(A1516&lt;&gt;"",A1516,IF(AND(livegame!$T$20,livegame!$U$20&lt;&gt;"",B1516="",B1515&lt;&gt;""),livegame!$U$20,"")))</f>
        <v/>
      </c>
      <c r="B1516" t="str">
        <f>IF(livegame!$V$21,"",IF(livegame!$T$20,B1516,A1516))</f>
        <v/>
      </c>
    </row>
    <row r="1517" spans="1:2">
      <c r="A1517" t="str">
        <f>IF(livegame!$V$21,"",IF(A1517&lt;&gt;"",A1517,IF(AND(livegame!$T$20,livegame!$U$20&lt;&gt;"",B1517="",B1516&lt;&gt;""),livegame!$U$20,"")))</f>
        <v/>
      </c>
      <c r="B1517" t="str">
        <f>IF(livegame!$V$21,"",IF(livegame!$T$20,B1517,A1517))</f>
        <v/>
      </c>
    </row>
    <row r="1518" spans="1:2">
      <c r="A1518" t="str">
        <f>IF(livegame!$V$21,"",IF(A1518&lt;&gt;"",A1518,IF(AND(livegame!$T$20,livegame!$U$20&lt;&gt;"",B1518="",B1517&lt;&gt;""),livegame!$U$20,"")))</f>
        <v/>
      </c>
      <c r="B1518" t="str">
        <f>IF(livegame!$V$21,"",IF(livegame!$T$20,B1518,A1518))</f>
        <v/>
      </c>
    </row>
    <row r="1519" spans="1:2">
      <c r="A1519" t="str">
        <f>IF(livegame!$V$21,"",IF(A1519&lt;&gt;"",A1519,IF(AND(livegame!$T$20,livegame!$U$20&lt;&gt;"",B1519="",B1518&lt;&gt;""),livegame!$U$20,"")))</f>
        <v/>
      </c>
      <c r="B1519" t="str">
        <f>IF(livegame!$V$21,"",IF(livegame!$T$20,B1519,A1519))</f>
        <v/>
      </c>
    </row>
    <row r="1520" spans="1:2">
      <c r="A1520" t="str">
        <f>IF(livegame!$V$21,"",IF(A1520&lt;&gt;"",A1520,IF(AND(livegame!$T$20,livegame!$U$20&lt;&gt;"",B1520="",B1519&lt;&gt;""),livegame!$U$20,"")))</f>
        <v/>
      </c>
      <c r="B1520" t="str">
        <f>IF(livegame!$V$21,"",IF(livegame!$T$20,B1520,A1520))</f>
        <v/>
      </c>
    </row>
    <row r="1521" spans="1:2">
      <c r="A1521" t="str">
        <f>IF(livegame!$V$21,"",IF(A1521&lt;&gt;"",A1521,IF(AND(livegame!$T$20,livegame!$U$20&lt;&gt;"",B1521="",B1520&lt;&gt;""),livegame!$U$20,"")))</f>
        <v/>
      </c>
      <c r="B1521" t="str">
        <f>IF(livegame!$V$21,"",IF(livegame!$T$20,B1521,A1521))</f>
        <v/>
      </c>
    </row>
    <row r="1522" spans="1:2">
      <c r="A1522" t="str">
        <f>IF(livegame!$V$21,"",IF(A1522&lt;&gt;"",A1522,IF(AND(livegame!$T$20,livegame!$U$20&lt;&gt;"",B1522="",B1521&lt;&gt;""),livegame!$U$20,"")))</f>
        <v/>
      </c>
      <c r="B1522" t="str">
        <f>IF(livegame!$V$21,"",IF(livegame!$T$20,B1522,A1522))</f>
        <v/>
      </c>
    </row>
    <row r="1523" spans="1:2">
      <c r="A1523" t="str">
        <f>IF(livegame!$V$21,"",IF(A1523&lt;&gt;"",A1523,IF(AND(livegame!$T$20,livegame!$U$20&lt;&gt;"",B1523="",B1522&lt;&gt;""),livegame!$U$20,"")))</f>
        <v/>
      </c>
      <c r="B1523" t="str">
        <f>IF(livegame!$V$21,"",IF(livegame!$T$20,B1523,A1523))</f>
        <v/>
      </c>
    </row>
    <row r="1524" spans="1:2">
      <c r="A1524" t="str">
        <f>IF(livegame!$V$21,"",IF(A1524&lt;&gt;"",A1524,IF(AND(livegame!$T$20,livegame!$U$20&lt;&gt;"",B1524="",B1523&lt;&gt;""),livegame!$U$20,"")))</f>
        <v/>
      </c>
      <c r="B1524" t="str">
        <f>IF(livegame!$V$21,"",IF(livegame!$T$20,B1524,A1524))</f>
        <v/>
      </c>
    </row>
    <row r="1525" spans="1:2">
      <c r="A1525" t="str">
        <f>IF(livegame!$V$21,"",IF(A1525&lt;&gt;"",A1525,IF(AND(livegame!$T$20,livegame!$U$20&lt;&gt;"",B1525="",B1524&lt;&gt;""),livegame!$U$20,"")))</f>
        <v/>
      </c>
      <c r="B1525" t="str">
        <f>IF(livegame!$V$21,"",IF(livegame!$T$20,B1525,A1525))</f>
        <v/>
      </c>
    </row>
    <row r="1526" spans="1:2">
      <c r="A1526" t="str">
        <f>IF(livegame!$V$21,"",IF(A1526&lt;&gt;"",A1526,IF(AND(livegame!$T$20,livegame!$U$20&lt;&gt;"",B1526="",B1525&lt;&gt;""),livegame!$U$20,"")))</f>
        <v/>
      </c>
      <c r="B1526" t="str">
        <f>IF(livegame!$V$21,"",IF(livegame!$T$20,B1526,A1526))</f>
        <v/>
      </c>
    </row>
    <row r="1527" spans="1:2">
      <c r="A1527" t="str">
        <f>IF(livegame!$V$21,"",IF(A1527&lt;&gt;"",A1527,IF(AND(livegame!$T$20,livegame!$U$20&lt;&gt;"",B1527="",B1526&lt;&gt;""),livegame!$U$20,"")))</f>
        <v/>
      </c>
      <c r="B1527" t="str">
        <f>IF(livegame!$V$21,"",IF(livegame!$T$20,B1527,A1527))</f>
        <v/>
      </c>
    </row>
    <row r="1528" spans="1:2">
      <c r="A1528" t="str">
        <f>IF(livegame!$V$21,"",IF(A1528&lt;&gt;"",A1528,IF(AND(livegame!$T$20,livegame!$U$20&lt;&gt;"",B1528="",B1527&lt;&gt;""),livegame!$U$20,"")))</f>
        <v/>
      </c>
      <c r="B1528" t="str">
        <f>IF(livegame!$V$21,"",IF(livegame!$T$20,B1528,A1528))</f>
        <v/>
      </c>
    </row>
    <row r="1529" spans="1:2">
      <c r="A1529" t="str">
        <f>IF(livegame!$V$21,"",IF(A1529&lt;&gt;"",A1529,IF(AND(livegame!$T$20,livegame!$U$20&lt;&gt;"",B1529="",B1528&lt;&gt;""),livegame!$U$20,"")))</f>
        <v/>
      </c>
      <c r="B1529" t="str">
        <f>IF(livegame!$V$21,"",IF(livegame!$T$20,B1529,A1529))</f>
        <v/>
      </c>
    </row>
    <row r="1530" spans="1:2">
      <c r="A1530" t="str">
        <f>IF(livegame!$V$21,"",IF(A1530&lt;&gt;"",A1530,IF(AND(livegame!$T$20,livegame!$U$20&lt;&gt;"",B1530="",B1529&lt;&gt;""),livegame!$U$20,"")))</f>
        <v/>
      </c>
      <c r="B1530" t="str">
        <f>IF(livegame!$V$21,"",IF(livegame!$T$20,B1530,A1530))</f>
        <v/>
      </c>
    </row>
    <row r="1531" spans="1:2">
      <c r="A1531" t="str">
        <f>IF(livegame!$V$21,"",IF(A1531&lt;&gt;"",A1531,IF(AND(livegame!$T$20,livegame!$U$20&lt;&gt;"",B1531="",B1530&lt;&gt;""),livegame!$U$20,"")))</f>
        <v/>
      </c>
      <c r="B1531" t="str">
        <f>IF(livegame!$V$21,"",IF(livegame!$T$20,B1531,A1531))</f>
        <v/>
      </c>
    </row>
    <row r="1532" spans="1:2">
      <c r="A1532" t="str">
        <f>IF(livegame!$V$21,"",IF(A1532&lt;&gt;"",A1532,IF(AND(livegame!$T$20,livegame!$U$20&lt;&gt;"",B1532="",B1531&lt;&gt;""),livegame!$U$20,"")))</f>
        <v/>
      </c>
      <c r="B1532" t="str">
        <f>IF(livegame!$V$21,"",IF(livegame!$T$20,B1532,A1532))</f>
        <v/>
      </c>
    </row>
    <row r="1533" spans="1:2">
      <c r="A1533" t="str">
        <f>IF(livegame!$V$21,"",IF(A1533&lt;&gt;"",A1533,IF(AND(livegame!$T$20,livegame!$U$20&lt;&gt;"",B1533="",B1532&lt;&gt;""),livegame!$U$20,"")))</f>
        <v/>
      </c>
      <c r="B1533" t="str">
        <f>IF(livegame!$V$21,"",IF(livegame!$T$20,B1533,A1533))</f>
        <v/>
      </c>
    </row>
    <row r="1534" spans="1:2">
      <c r="A1534" t="str">
        <f>IF(livegame!$V$21,"",IF(A1534&lt;&gt;"",A1534,IF(AND(livegame!$T$20,livegame!$U$20&lt;&gt;"",B1534="",B1533&lt;&gt;""),livegame!$U$20,"")))</f>
        <v/>
      </c>
      <c r="B1534" t="str">
        <f>IF(livegame!$V$21,"",IF(livegame!$T$20,B1534,A1534))</f>
        <v/>
      </c>
    </row>
    <row r="1535" spans="1:2">
      <c r="A1535" t="str">
        <f>IF(livegame!$V$21,"",IF(A1535&lt;&gt;"",A1535,IF(AND(livegame!$T$20,livegame!$U$20&lt;&gt;"",B1535="",B1534&lt;&gt;""),livegame!$U$20,"")))</f>
        <v/>
      </c>
      <c r="B1535" t="str">
        <f>IF(livegame!$V$21,"",IF(livegame!$T$20,B1535,A1535))</f>
        <v/>
      </c>
    </row>
    <row r="1536" spans="1:2">
      <c r="A1536" t="str">
        <f>IF(livegame!$V$21,"",IF(A1536&lt;&gt;"",A1536,IF(AND(livegame!$T$20,livegame!$U$20&lt;&gt;"",B1536="",B1535&lt;&gt;""),livegame!$U$20,"")))</f>
        <v/>
      </c>
      <c r="B1536" t="str">
        <f>IF(livegame!$V$21,"",IF(livegame!$T$20,B1536,A1536))</f>
        <v/>
      </c>
    </row>
    <row r="1537" spans="1:2">
      <c r="A1537" t="str">
        <f>IF(livegame!$V$21,"",IF(A1537&lt;&gt;"",A1537,IF(AND(livegame!$T$20,livegame!$U$20&lt;&gt;"",B1537="",B1536&lt;&gt;""),livegame!$U$20,"")))</f>
        <v/>
      </c>
      <c r="B1537" t="str">
        <f>IF(livegame!$V$21,"",IF(livegame!$T$20,B1537,A1537))</f>
        <v/>
      </c>
    </row>
    <row r="1538" spans="1:2">
      <c r="A1538" t="str">
        <f>IF(livegame!$V$21,"",IF(A1538&lt;&gt;"",A1538,IF(AND(livegame!$T$20,livegame!$U$20&lt;&gt;"",B1538="",B1537&lt;&gt;""),livegame!$U$20,"")))</f>
        <v/>
      </c>
      <c r="B1538" t="str">
        <f>IF(livegame!$V$21,"",IF(livegame!$T$20,B1538,A1538))</f>
        <v/>
      </c>
    </row>
    <row r="1539" spans="1:2">
      <c r="A1539" t="str">
        <f>IF(livegame!$V$21,"",IF(A1539&lt;&gt;"",A1539,IF(AND(livegame!$T$20,livegame!$U$20&lt;&gt;"",B1539="",B1538&lt;&gt;""),livegame!$U$20,"")))</f>
        <v/>
      </c>
      <c r="B1539" t="str">
        <f>IF(livegame!$V$21,"",IF(livegame!$T$20,B1539,A1539))</f>
        <v/>
      </c>
    </row>
    <row r="1540" spans="1:2">
      <c r="A1540" t="str">
        <f>IF(livegame!$V$21,"",IF(A1540&lt;&gt;"",A1540,IF(AND(livegame!$T$20,livegame!$U$20&lt;&gt;"",B1540="",B1539&lt;&gt;""),livegame!$U$20,"")))</f>
        <v/>
      </c>
      <c r="B1540" t="str">
        <f>IF(livegame!$V$21,"",IF(livegame!$T$20,B1540,A1540))</f>
        <v/>
      </c>
    </row>
    <row r="1541" spans="1:2">
      <c r="A1541" t="str">
        <f>IF(livegame!$V$21,"",IF(A1541&lt;&gt;"",A1541,IF(AND(livegame!$T$20,livegame!$U$20&lt;&gt;"",B1541="",B1540&lt;&gt;""),livegame!$U$20,"")))</f>
        <v/>
      </c>
      <c r="B1541" t="str">
        <f>IF(livegame!$V$21,"",IF(livegame!$T$20,B1541,A1541))</f>
        <v/>
      </c>
    </row>
    <row r="1542" spans="1:2">
      <c r="A1542" t="str">
        <f>IF(livegame!$V$21,"",IF(A1542&lt;&gt;"",A1542,IF(AND(livegame!$T$20,livegame!$U$20&lt;&gt;"",B1542="",B1541&lt;&gt;""),livegame!$U$20,"")))</f>
        <v/>
      </c>
      <c r="B1542" t="str">
        <f>IF(livegame!$V$21,"",IF(livegame!$T$20,B1542,A1542))</f>
        <v/>
      </c>
    </row>
    <row r="1543" spans="1:2">
      <c r="A1543" t="str">
        <f>IF(livegame!$V$21,"",IF(A1543&lt;&gt;"",A1543,IF(AND(livegame!$T$20,livegame!$U$20&lt;&gt;"",B1543="",B1542&lt;&gt;""),livegame!$U$20,"")))</f>
        <v/>
      </c>
      <c r="B1543" t="str">
        <f>IF(livegame!$V$21,"",IF(livegame!$T$20,B1543,A1543))</f>
        <v/>
      </c>
    </row>
    <row r="1544" spans="1:2">
      <c r="A1544" t="str">
        <f>IF(livegame!$V$21,"",IF(A1544&lt;&gt;"",A1544,IF(AND(livegame!$T$20,livegame!$U$20&lt;&gt;"",B1544="",B1543&lt;&gt;""),livegame!$U$20,"")))</f>
        <v/>
      </c>
      <c r="B1544" t="str">
        <f>IF(livegame!$V$21,"",IF(livegame!$T$20,B1544,A1544))</f>
        <v/>
      </c>
    </row>
    <row r="1545" spans="1:2">
      <c r="A1545" t="str">
        <f>IF(livegame!$V$21,"",IF(A1545&lt;&gt;"",A1545,IF(AND(livegame!$T$20,livegame!$U$20&lt;&gt;"",B1545="",B1544&lt;&gt;""),livegame!$U$20,"")))</f>
        <v/>
      </c>
      <c r="B1545" t="str">
        <f>IF(livegame!$V$21,"",IF(livegame!$T$20,B1545,A1545))</f>
        <v/>
      </c>
    </row>
    <row r="1546" spans="1:2">
      <c r="A1546" t="str">
        <f>IF(livegame!$V$21,"",IF(A1546&lt;&gt;"",A1546,IF(AND(livegame!$T$20,livegame!$U$20&lt;&gt;"",B1546="",B1545&lt;&gt;""),livegame!$U$20,"")))</f>
        <v/>
      </c>
      <c r="B1546" t="str">
        <f>IF(livegame!$V$21,"",IF(livegame!$T$20,B1546,A1546))</f>
        <v/>
      </c>
    </row>
    <row r="1547" spans="1:2">
      <c r="A1547" t="str">
        <f>IF(livegame!$V$21,"",IF(A1547&lt;&gt;"",A1547,IF(AND(livegame!$T$20,livegame!$U$20&lt;&gt;"",B1547="",B1546&lt;&gt;""),livegame!$U$20,"")))</f>
        <v/>
      </c>
      <c r="B1547" t="str">
        <f>IF(livegame!$V$21,"",IF(livegame!$T$20,B1547,A1547))</f>
        <v/>
      </c>
    </row>
    <row r="1548" spans="1:2">
      <c r="A1548" t="str">
        <f>IF(livegame!$V$21,"",IF(A1548&lt;&gt;"",A1548,IF(AND(livegame!$T$20,livegame!$U$20&lt;&gt;"",B1548="",B1547&lt;&gt;""),livegame!$U$20,"")))</f>
        <v/>
      </c>
      <c r="B1548" t="str">
        <f>IF(livegame!$V$21,"",IF(livegame!$T$20,B1548,A1548))</f>
        <v/>
      </c>
    </row>
    <row r="1549" spans="1:2">
      <c r="A1549" t="str">
        <f>IF(livegame!$V$21,"",IF(A1549&lt;&gt;"",A1549,IF(AND(livegame!$T$20,livegame!$U$20&lt;&gt;"",B1549="",B1548&lt;&gt;""),livegame!$U$20,"")))</f>
        <v/>
      </c>
      <c r="B1549" t="str">
        <f>IF(livegame!$V$21,"",IF(livegame!$T$20,B1549,A1549))</f>
        <v/>
      </c>
    </row>
    <row r="1550" spans="1:2">
      <c r="A1550" t="str">
        <f>IF(livegame!$V$21,"",IF(A1550&lt;&gt;"",A1550,IF(AND(livegame!$T$20,livegame!$U$20&lt;&gt;"",B1550="",B1549&lt;&gt;""),livegame!$U$20,"")))</f>
        <v/>
      </c>
      <c r="B1550" t="str">
        <f>IF(livegame!$V$21,"",IF(livegame!$T$20,B1550,A1550))</f>
        <v/>
      </c>
    </row>
    <row r="1551" spans="1:2">
      <c r="A1551" t="str">
        <f>IF(livegame!$V$21,"",IF(A1551&lt;&gt;"",A1551,IF(AND(livegame!$T$20,livegame!$U$20&lt;&gt;"",B1551="",B1550&lt;&gt;""),livegame!$U$20,"")))</f>
        <v/>
      </c>
      <c r="B1551" t="str">
        <f>IF(livegame!$V$21,"",IF(livegame!$T$20,B1551,A1551))</f>
        <v/>
      </c>
    </row>
    <row r="1552" spans="1:2">
      <c r="A1552" t="str">
        <f>IF(livegame!$V$21,"",IF(A1552&lt;&gt;"",A1552,IF(AND(livegame!$T$20,livegame!$U$20&lt;&gt;"",B1552="",B1551&lt;&gt;""),livegame!$U$20,"")))</f>
        <v/>
      </c>
      <c r="B1552" t="str">
        <f>IF(livegame!$V$21,"",IF(livegame!$T$20,B1552,A1552))</f>
        <v/>
      </c>
    </row>
    <row r="1553" spans="1:2">
      <c r="A1553" t="str">
        <f>IF(livegame!$V$21,"",IF(A1553&lt;&gt;"",A1553,IF(AND(livegame!$T$20,livegame!$U$20&lt;&gt;"",B1553="",B1552&lt;&gt;""),livegame!$U$20,"")))</f>
        <v/>
      </c>
      <c r="B1553" t="str">
        <f>IF(livegame!$V$21,"",IF(livegame!$T$20,B1553,A1553))</f>
        <v/>
      </c>
    </row>
    <row r="1554" spans="1:2">
      <c r="A1554" t="str">
        <f>IF(livegame!$V$21,"",IF(A1554&lt;&gt;"",A1554,IF(AND(livegame!$T$20,livegame!$U$20&lt;&gt;"",B1554="",B1553&lt;&gt;""),livegame!$U$20,"")))</f>
        <v/>
      </c>
      <c r="B1554" t="str">
        <f>IF(livegame!$V$21,"",IF(livegame!$T$20,B1554,A1554))</f>
        <v/>
      </c>
    </row>
    <row r="1555" spans="1:2">
      <c r="A1555" t="str">
        <f>IF(livegame!$V$21,"",IF(A1555&lt;&gt;"",A1555,IF(AND(livegame!$T$20,livegame!$U$20&lt;&gt;"",B1555="",B1554&lt;&gt;""),livegame!$U$20,"")))</f>
        <v/>
      </c>
      <c r="B1555" t="str">
        <f>IF(livegame!$V$21,"",IF(livegame!$T$20,B1555,A1555))</f>
        <v/>
      </c>
    </row>
    <row r="1556" spans="1:2">
      <c r="A1556" t="str">
        <f>IF(livegame!$V$21,"",IF(A1556&lt;&gt;"",A1556,IF(AND(livegame!$T$20,livegame!$U$20&lt;&gt;"",B1556="",B1555&lt;&gt;""),livegame!$U$20,"")))</f>
        <v/>
      </c>
      <c r="B1556" t="str">
        <f>IF(livegame!$V$21,"",IF(livegame!$T$20,B1556,A1556))</f>
        <v/>
      </c>
    </row>
    <row r="1557" spans="1:2">
      <c r="A1557" t="str">
        <f>IF(livegame!$V$21,"",IF(A1557&lt;&gt;"",A1557,IF(AND(livegame!$T$20,livegame!$U$20&lt;&gt;"",B1557="",B1556&lt;&gt;""),livegame!$U$20,"")))</f>
        <v/>
      </c>
      <c r="B1557" t="str">
        <f>IF(livegame!$V$21,"",IF(livegame!$T$20,B1557,A1557))</f>
        <v/>
      </c>
    </row>
    <row r="1558" spans="1:2">
      <c r="A1558" t="str">
        <f>IF(livegame!$V$21,"",IF(A1558&lt;&gt;"",A1558,IF(AND(livegame!$T$20,livegame!$U$20&lt;&gt;"",B1558="",B1557&lt;&gt;""),livegame!$U$20,"")))</f>
        <v/>
      </c>
      <c r="B1558" t="str">
        <f>IF(livegame!$V$21,"",IF(livegame!$T$20,B1558,A1558))</f>
        <v/>
      </c>
    </row>
    <row r="1559" spans="1:2">
      <c r="A1559" t="str">
        <f>IF(livegame!$V$21,"",IF(A1559&lt;&gt;"",A1559,IF(AND(livegame!$T$20,livegame!$U$20&lt;&gt;"",B1559="",B1558&lt;&gt;""),livegame!$U$20,"")))</f>
        <v/>
      </c>
      <c r="B1559" t="str">
        <f>IF(livegame!$V$21,"",IF(livegame!$T$20,B1559,A1559))</f>
        <v/>
      </c>
    </row>
    <row r="1560" spans="1:2">
      <c r="A1560" t="str">
        <f>IF(livegame!$V$21,"",IF(A1560&lt;&gt;"",A1560,IF(AND(livegame!$T$20,livegame!$U$20&lt;&gt;"",B1560="",B1559&lt;&gt;""),livegame!$U$20,"")))</f>
        <v/>
      </c>
      <c r="B1560" t="str">
        <f>IF(livegame!$V$21,"",IF(livegame!$T$20,B1560,A1560))</f>
        <v/>
      </c>
    </row>
    <row r="1561" spans="1:2">
      <c r="A1561" t="str">
        <f>IF(livegame!$V$21,"",IF(A1561&lt;&gt;"",A1561,IF(AND(livegame!$T$20,livegame!$U$20&lt;&gt;"",B1561="",B1560&lt;&gt;""),livegame!$U$20,"")))</f>
        <v/>
      </c>
      <c r="B1561" t="str">
        <f>IF(livegame!$V$21,"",IF(livegame!$T$20,B1561,A1561))</f>
        <v/>
      </c>
    </row>
    <row r="1562" spans="1:2">
      <c r="A1562" t="str">
        <f>IF(livegame!$V$21,"",IF(A1562&lt;&gt;"",A1562,IF(AND(livegame!$T$20,livegame!$U$20&lt;&gt;"",B1562="",B1561&lt;&gt;""),livegame!$U$20,"")))</f>
        <v/>
      </c>
      <c r="B1562" t="str">
        <f>IF(livegame!$V$21,"",IF(livegame!$T$20,B1562,A1562))</f>
        <v/>
      </c>
    </row>
    <row r="1563" spans="1:2">
      <c r="A1563" t="str">
        <f>IF(livegame!$V$21,"",IF(A1563&lt;&gt;"",A1563,IF(AND(livegame!$T$20,livegame!$U$20&lt;&gt;"",B1563="",B1562&lt;&gt;""),livegame!$U$20,"")))</f>
        <v/>
      </c>
      <c r="B1563" t="str">
        <f>IF(livegame!$V$21,"",IF(livegame!$T$20,B1563,A1563))</f>
        <v/>
      </c>
    </row>
    <row r="1564" spans="1:2">
      <c r="A1564" t="str">
        <f>IF(livegame!$V$21,"",IF(A1564&lt;&gt;"",A1564,IF(AND(livegame!$T$20,livegame!$U$20&lt;&gt;"",B1564="",B1563&lt;&gt;""),livegame!$U$20,"")))</f>
        <v/>
      </c>
      <c r="B1564" t="str">
        <f>IF(livegame!$V$21,"",IF(livegame!$T$20,B1564,A1564))</f>
        <v/>
      </c>
    </row>
    <row r="1565" spans="1:2">
      <c r="A1565" t="str">
        <f>IF(livegame!$V$21,"",IF(A1565&lt;&gt;"",A1565,IF(AND(livegame!$T$20,livegame!$U$20&lt;&gt;"",B1565="",B1564&lt;&gt;""),livegame!$U$20,"")))</f>
        <v/>
      </c>
      <c r="B1565" t="str">
        <f>IF(livegame!$V$21,"",IF(livegame!$T$20,B1565,A1565))</f>
        <v/>
      </c>
    </row>
    <row r="1566" spans="1:2">
      <c r="A1566" t="str">
        <f>IF(livegame!$V$21,"",IF(A1566&lt;&gt;"",A1566,IF(AND(livegame!$T$20,livegame!$U$20&lt;&gt;"",B1566="",B1565&lt;&gt;""),livegame!$U$20,"")))</f>
        <v/>
      </c>
      <c r="B1566" t="str">
        <f>IF(livegame!$V$21,"",IF(livegame!$T$20,B1566,A1566))</f>
        <v/>
      </c>
    </row>
    <row r="1567" spans="1:2">
      <c r="A1567" t="str">
        <f>IF(livegame!$V$21,"",IF(A1567&lt;&gt;"",A1567,IF(AND(livegame!$T$20,livegame!$U$20&lt;&gt;"",B1567="",B1566&lt;&gt;""),livegame!$U$20,"")))</f>
        <v/>
      </c>
      <c r="B1567" t="str">
        <f>IF(livegame!$V$21,"",IF(livegame!$T$20,B1567,A1567))</f>
        <v/>
      </c>
    </row>
    <row r="1568" spans="1:2">
      <c r="A1568" t="str">
        <f>IF(livegame!$V$21,"",IF(A1568&lt;&gt;"",A1568,IF(AND(livegame!$T$20,livegame!$U$20&lt;&gt;"",B1568="",B1567&lt;&gt;""),livegame!$U$20,"")))</f>
        <v/>
      </c>
      <c r="B1568" t="str">
        <f>IF(livegame!$V$21,"",IF(livegame!$T$20,B1568,A1568))</f>
        <v/>
      </c>
    </row>
    <row r="1569" spans="1:2">
      <c r="A1569" t="str">
        <f>IF(livegame!$V$21,"",IF(A1569&lt;&gt;"",A1569,IF(AND(livegame!$T$20,livegame!$U$20&lt;&gt;"",B1569="",B1568&lt;&gt;""),livegame!$U$20,"")))</f>
        <v/>
      </c>
      <c r="B1569" t="str">
        <f>IF(livegame!$V$21,"",IF(livegame!$T$20,B1569,A1569))</f>
        <v/>
      </c>
    </row>
    <row r="1570" spans="1:2">
      <c r="A1570" t="str">
        <f>IF(livegame!$V$21,"",IF(A1570&lt;&gt;"",A1570,IF(AND(livegame!$T$20,livegame!$U$20&lt;&gt;"",B1570="",B1569&lt;&gt;""),livegame!$U$20,"")))</f>
        <v/>
      </c>
      <c r="B1570" t="str">
        <f>IF(livegame!$V$21,"",IF(livegame!$T$20,B1570,A1570))</f>
        <v/>
      </c>
    </row>
    <row r="1571" spans="1:2">
      <c r="A1571" t="str">
        <f>IF(livegame!$V$21,"",IF(A1571&lt;&gt;"",A1571,IF(AND(livegame!$T$20,livegame!$U$20&lt;&gt;"",B1571="",B1570&lt;&gt;""),livegame!$U$20,"")))</f>
        <v/>
      </c>
      <c r="B1571" t="str">
        <f>IF(livegame!$V$21,"",IF(livegame!$T$20,B1571,A1571))</f>
        <v/>
      </c>
    </row>
    <row r="1572" spans="1:2">
      <c r="A1572" t="str">
        <f>IF(livegame!$V$21,"",IF(A1572&lt;&gt;"",A1572,IF(AND(livegame!$T$20,livegame!$U$20&lt;&gt;"",B1572="",B1571&lt;&gt;""),livegame!$U$20,"")))</f>
        <v/>
      </c>
      <c r="B1572" t="str">
        <f>IF(livegame!$V$21,"",IF(livegame!$T$20,B1572,A1572))</f>
        <v/>
      </c>
    </row>
    <row r="1573" spans="1:2">
      <c r="A1573" t="str">
        <f>IF(livegame!$V$21,"",IF(A1573&lt;&gt;"",A1573,IF(AND(livegame!$T$20,livegame!$U$20&lt;&gt;"",B1573="",B1572&lt;&gt;""),livegame!$U$20,"")))</f>
        <v/>
      </c>
      <c r="B1573" t="str">
        <f>IF(livegame!$V$21,"",IF(livegame!$T$20,B1573,A1573))</f>
        <v/>
      </c>
    </row>
    <row r="1574" spans="1:2">
      <c r="A1574" t="str">
        <f>IF(livegame!$V$21,"",IF(A1574&lt;&gt;"",A1574,IF(AND(livegame!$T$20,livegame!$U$20&lt;&gt;"",B1574="",B1573&lt;&gt;""),livegame!$U$20,"")))</f>
        <v/>
      </c>
      <c r="B1574" t="str">
        <f>IF(livegame!$V$21,"",IF(livegame!$T$20,B1574,A1574))</f>
        <v/>
      </c>
    </row>
    <row r="1575" spans="1:2">
      <c r="A1575" t="str">
        <f>IF(livegame!$V$21,"",IF(A1575&lt;&gt;"",A1575,IF(AND(livegame!$T$20,livegame!$U$20&lt;&gt;"",B1575="",B1574&lt;&gt;""),livegame!$U$20,"")))</f>
        <v/>
      </c>
      <c r="B1575" t="str">
        <f>IF(livegame!$V$21,"",IF(livegame!$T$20,B1575,A1575))</f>
        <v/>
      </c>
    </row>
    <row r="1576" spans="1:2">
      <c r="A1576" t="str">
        <f>IF(livegame!$V$21,"",IF(A1576&lt;&gt;"",A1576,IF(AND(livegame!$T$20,livegame!$U$20&lt;&gt;"",B1576="",B1575&lt;&gt;""),livegame!$U$20,"")))</f>
        <v/>
      </c>
      <c r="B1576" t="str">
        <f>IF(livegame!$V$21,"",IF(livegame!$T$20,B1576,A1576))</f>
        <v/>
      </c>
    </row>
    <row r="1577" spans="1:2">
      <c r="A1577" t="str">
        <f>IF(livegame!$V$21,"",IF(A1577&lt;&gt;"",A1577,IF(AND(livegame!$T$20,livegame!$U$20&lt;&gt;"",B1577="",B1576&lt;&gt;""),livegame!$U$20,"")))</f>
        <v/>
      </c>
      <c r="B1577" t="str">
        <f>IF(livegame!$V$21,"",IF(livegame!$T$20,B1577,A1577))</f>
        <v/>
      </c>
    </row>
    <row r="1578" spans="1:2">
      <c r="A1578" t="str">
        <f>IF(livegame!$V$21,"",IF(A1578&lt;&gt;"",A1578,IF(AND(livegame!$T$20,livegame!$U$20&lt;&gt;"",B1578="",B1577&lt;&gt;""),livegame!$U$20,"")))</f>
        <v/>
      </c>
      <c r="B1578" t="str">
        <f>IF(livegame!$V$21,"",IF(livegame!$T$20,B1578,A1578))</f>
        <v/>
      </c>
    </row>
    <row r="1579" spans="1:2">
      <c r="A1579" t="str">
        <f>IF(livegame!$V$21,"",IF(A1579&lt;&gt;"",A1579,IF(AND(livegame!$T$20,livegame!$U$20&lt;&gt;"",B1579="",B1578&lt;&gt;""),livegame!$U$20,"")))</f>
        <v/>
      </c>
      <c r="B1579" t="str">
        <f>IF(livegame!$V$21,"",IF(livegame!$T$20,B1579,A1579))</f>
        <v/>
      </c>
    </row>
    <row r="1580" spans="1:2">
      <c r="A1580" t="str">
        <f>IF(livegame!$V$21,"",IF(A1580&lt;&gt;"",A1580,IF(AND(livegame!$T$20,livegame!$U$20&lt;&gt;"",B1580="",B1579&lt;&gt;""),livegame!$U$20,"")))</f>
        <v/>
      </c>
      <c r="B1580" t="str">
        <f>IF(livegame!$V$21,"",IF(livegame!$T$20,B1580,A1580))</f>
        <v/>
      </c>
    </row>
    <row r="1581" spans="1:2">
      <c r="A1581" t="str">
        <f>IF(livegame!$V$21,"",IF(A1581&lt;&gt;"",A1581,IF(AND(livegame!$T$20,livegame!$U$20&lt;&gt;"",B1581="",B1580&lt;&gt;""),livegame!$U$20,"")))</f>
        <v/>
      </c>
      <c r="B1581" t="str">
        <f>IF(livegame!$V$21,"",IF(livegame!$T$20,B1581,A1581))</f>
        <v/>
      </c>
    </row>
    <row r="1582" spans="1:2">
      <c r="A1582" t="str">
        <f>IF(livegame!$V$21,"",IF(A1582&lt;&gt;"",A1582,IF(AND(livegame!$T$20,livegame!$U$20&lt;&gt;"",B1582="",B1581&lt;&gt;""),livegame!$U$20,"")))</f>
        <v/>
      </c>
      <c r="B1582" t="str">
        <f>IF(livegame!$V$21,"",IF(livegame!$T$20,B1582,A1582))</f>
        <v/>
      </c>
    </row>
    <row r="1583" spans="1:2">
      <c r="A1583" t="str">
        <f>IF(livegame!$V$21,"",IF(A1583&lt;&gt;"",A1583,IF(AND(livegame!$T$20,livegame!$U$20&lt;&gt;"",B1583="",B1582&lt;&gt;""),livegame!$U$20,"")))</f>
        <v/>
      </c>
      <c r="B1583" t="str">
        <f>IF(livegame!$V$21,"",IF(livegame!$T$20,B1583,A1583))</f>
        <v/>
      </c>
    </row>
    <row r="1584" spans="1:2">
      <c r="A1584" t="str">
        <f>IF(livegame!$V$21,"",IF(A1584&lt;&gt;"",A1584,IF(AND(livegame!$T$20,livegame!$U$20&lt;&gt;"",B1584="",B1583&lt;&gt;""),livegame!$U$20,"")))</f>
        <v/>
      </c>
      <c r="B1584" t="str">
        <f>IF(livegame!$V$21,"",IF(livegame!$T$20,B1584,A1584))</f>
        <v/>
      </c>
    </row>
    <row r="1585" spans="1:2">
      <c r="A1585" t="str">
        <f>IF(livegame!$V$21,"",IF(A1585&lt;&gt;"",A1585,IF(AND(livegame!$T$20,livegame!$U$20&lt;&gt;"",B1585="",B1584&lt;&gt;""),livegame!$U$20,"")))</f>
        <v/>
      </c>
      <c r="B1585" t="str">
        <f>IF(livegame!$V$21,"",IF(livegame!$T$20,B1585,A1585))</f>
        <v/>
      </c>
    </row>
    <row r="1586" spans="1:2">
      <c r="A1586" t="str">
        <f>IF(livegame!$V$21,"",IF(A1586&lt;&gt;"",A1586,IF(AND(livegame!$T$20,livegame!$U$20&lt;&gt;"",B1586="",B1585&lt;&gt;""),livegame!$U$20,"")))</f>
        <v/>
      </c>
      <c r="B1586" t="str">
        <f>IF(livegame!$V$21,"",IF(livegame!$T$20,B1586,A1586))</f>
        <v/>
      </c>
    </row>
    <row r="1587" spans="1:2">
      <c r="A1587" t="str">
        <f>IF(livegame!$V$21,"",IF(A1587&lt;&gt;"",A1587,IF(AND(livegame!$T$20,livegame!$U$20&lt;&gt;"",B1587="",B1586&lt;&gt;""),livegame!$U$20,"")))</f>
        <v/>
      </c>
      <c r="B1587" t="str">
        <f>IF(livegame!$V$21,"",IF(livegame!$T$20,B1587,A1587))</f>
        <v/>
      </c>
    </row>
    <row r="1588" spans="1:2">
      <c r="A1588" t="str">
        <f>IF(livegame!$V$21,"",IF(A1588&lt;&gt;"",A1588,IF(AND(livegame!$T$20,livegame!$U$20&lt;&gt;"",B1588="",B1587&lt;&gt;""),livegame!$U$20,"")))</f>
        <v/>
      </c>
      <c r="B1588" t="str">
        <f>IF(livegame!$V$21,"",IF(livegame!$T$20,B1588,A1588))</f>
        <v/>
      </c>
    </row>
    <row r="1589" spans="1:2">
      <c r="A1589" t="str">
        <f>IF(livegame!$V$21,"",IF(A1589&lt;&gt;"",A1589,IF(AND(livegame!$T$20,livegame!$U$20&lt;&gt;"",B1589="",B1588&lt;&gt;""),livegame!$U$20,"")))</f>
        <v/>
      </c>
      <c r="B1589" t="str">
        <f>IF(livegame!$V$21,"",IF(livegame!$T$20,B1589,A1589))</f>
        <v/>
      </c>
    </row>
    <row r="1590" spans="1:2">
      <c r="A1590" t="str">
        <f>IF(livegame!$V$21,"",IF(A1590&lt;&gt;"",A1590,IF(AND(livegame!$T$20,livegame!$U$20&lt;&gt;"",B1590="",B1589&lt;&gt;""),livegame!$U$20,"")))</f>
        <v/>
      </c>
      <c r="B1590" t="str">
        <f>IF(livegame!$V$21,"",IF(livegame!$T$20,B1590,A1590))</f>
        <v/>
      </c>
    </row>
    <row r="1591" spans="1:2">
      <c r="A1591" t="str">
        <f>IF(livegame!$V$21,"",IF(A1591&lt;&gt;"",A1591,IF(AND(livegame!$T$20,livegame!$U$20&lt;&gt;"",B1591="",B1590&lt;&gt;""),livegame!$U$20,"")))</f>
        <v/>
      </c>
      <c r="B1591" t="str">
        <f>IF(livegame!$V$21,"",IF(livegame!$T$20,B1591,A1591))</f>
        <v/>
      </c>
    </row>
    <row r="1592" spans="1:2">
      <c r="A1592" t="str">
        <f>IF(livegame!$V$21,"",IF(A1592&lt;&gt;"",A1592,IF(AND(livegame!$T$20,livegame!$U$20&lt;&gt;"",B1592="",B1591&lt;&gt;""),livegame!$U$20,"")))</f>
        <v/>
      </c>
      <c r="B1592" t="str">
        <f>IF(livegame!$V$21,"",IF(livegame!$T$20,B1592,A1592))</f>
        <v/>
      </c>
    </row>
    <row r="1593" spans="1:2">
      <c r="A1593" t="str">
        <f>IF(livegame!$V$21,"",IF(A1593&lt;&gt;"",A1593,IF(AND(livegame!$T$20,livegame!$U$20&lt;&gt;"",B1593="",B1592&lt;&gt;""),livegame!$U$20,"")))</f>
        <v/>
      </c>
      <c r="B1593" t="str">
        <f>IF(livegame!$V$21,"",IF(livegame!$T$20,B1593,A1593))</f>
        <v/>
      </c>
    </row>
    <row r="1594" spans="1:2">
      <c r="A1594" t="str">
        <f>IF(livegame!$V$21,"",IF(A1594&lt;&gt;"",A1594,IF(AND(livegame!$T$20,livegame!$U$20&lt;&gt;"",B1594="",B1593&lt;&gt;""),livegame!$U$20,"")))</f>
        <v/>
      </c>
      <c r="B1594" t="str">
        <f>IF(livegame!$V$21,"",IF(livegame!$T$20,B1594,A1594))</f>
        <v/>
      </c>
    </row>
    <row r="1595" spans="1:2">
      <c r="A1595" t="str">
        <f>IF(livegame!$V$21,"",IF(A1595&lt;&gt;"",A1595,IF(AND(livegame!$T$20,livegame!$U$20&lt;&gt;"",B1595="",B1594&lt;&gt;""),livegame!$U$20,"")))</f>
        <v/>
      </c>
      <c r="B1595" t="str">
        <f>IF(livegame!$V$21,"",IF(livegame!$T$20,B1595,A1595))</f>
        <v/>
      </c>
    </row>
    <row r="1596" spans="1:2">
      <c r="A1596" t="str">
        <f>IF(livegame!$V$21,"",IF(A1596&lt;&gt;"",A1596,IF(AND(livegame!$T$20,livegame!$U$20&lt;&gt;"",B1596="",B1595&lt;&gt;""),livegame!$U$20,"")))</f>
        <v/>
      </c>
      <c r="B1596" t="str">
        <f>IF(livegame!$V$21,"",IF(livegame!$T$20,B1596,A1596))</f>
        <v/>
      </c>
    </row>
    <row r="1597" spans="1:2">
      <c r="A1597" t="str">
        <f>IF(livegame!$V$21,"",IF(A1597&lt;&gt;"",A1597,IF(AND(livegame!$T$20,livegame!$U$20&lt;&gt;"",B1597="",B1596&lt;&gt;""),livegame!$U$20,"")))</f>
        <v/>
      </c>
      <c r="B1597" t="str">
        <f>IF(livegame!$V$21,"",IF(livegame!$T$20,B1597,A1597))</f>
        <v/>
      </c>
    </row>
    <row r="1598" spans="1:2">
      <c r="A1598" t="str">
        <f>IF(livegame!$V$21,"",IF(A1598&lt;&gt;"",A1598,IF(AND(livegame!$T$20,livegame!$U$20&lt;&gt;"",B1598="",B1597&lt;&gt;""),livegame!$U$20,"")))</f>
        <v/>
      </c>
      <c r="B1598" t="str">
        <f>IF(livegame!$V$21,"",IF(livegame!$T$20,B1598,A1598))</f>
        <v/>
      </c>
    </row>
    <row r="1599" spans="1:2">
      <c r="A1599" t="str">
        <f>IF(livegame!$V$21,"",IF(A1599&lt;&gt;"",A1599,IF(AND(livegame!$T$20,livegame!$U$20&lt;&gt;"",B1599="",B1598&lt;&gt;""),livegame!$U$20,"")))</f>
        <v/>
      </c>
      <c r="B1599" t="str">
        <f>IF(livegame!$V$21,"",IF(livegame!$T$20,B1599,A1599))</f>
        <v/>
      </c>
    </row>
    <row r="1600" spans="1:2">
      <c r="A1600" t="str">
        <f>IF(livegame!$V$21,"",IF(A1600&lt;&gt;"",A1600,IF(AND(livegame!$T$20,livegame!$U$20&lt;&gt;"",B1600="",B1599&lt;&gt;""),livegame!$U$20,"")))</f>
        <v/>
      </c>
      <c r="B1600" t="str">
        <f>IF(livegame!$V$21,"",IF(livegame!$T$20,B1600,A1600))</f>
        <v/>
      </c>
    </row>
    <row r="1601" spans="1:2">
      <c r="A1601" t="str">
        <f>IF(livegame!$V$21,"",IF(A1601&lt;&gt;"",A1601,IF(AND(livegame!$T$20,livegame!$U$20&lt;&gt;"",B1601="",B1600&lt;&gt;""),livegame!$U$20,"")))</f>
        <v/>
      </c>
      <c r="B1601" t="str">
        <f>IF(livegame!$V$21,"",IF(livegame!$T$20,B1601,A1601))</f>
        <v/>
      </c>
    </row>
    <row r="1602" spans="1:2">
      <c r="A1602" t="str">
        <f>IF(livegame!$V$21,"",IF(A1602&lt;&gt;"",A1602,IF(AND(livegame!$T$20,livegame!$U$20&lt;&gt;"",B1602="",B1601&lt;&gt;""),livegame!$U$20,"")))</f>
        <v/>
      </c>
      <c r="B1602" t="str">
        <f>IF(livegame!$V$21,"",IF(livegame!$T$20,B1602,A1602))</f>
        <v/>
      </c>
    </row>
    <row r="1603" spans="1:2">
      <c r="A1603" t="str">
        <f>IF(livegame!$V$21,"",IF(A1603&lt;&gt;"",A1603,IF(AND(livegame!$T$20,livegame!$U$20&lt;&gt;"",B1603="",B1602&lt;&gt;""),livegame!$U$20,"")))</f>
        <v/>
      </c>
      <c r="B1603" t="str">
        <f>IF(livegame!$V$21,"",IF(livegame!$T$20,B1603,A1603))</f>
        <v/>
      </c>
    </row>
    <row r="1604" spans="1:2">
      <c r="A1604" t="str">
        <f>IF(livegame!$V$21,"",IF(A1604&lt;&gt;"",A1604,IF(AND(livegame!$T$20,livegame!$U$20&lt;&gt;"",B1604="",B1603&lt;&gt;""),livegame!$U$20,"")))</f>
        <v/>
      </c>
      <c r="B1604" t="str">
        <f>IF(livegame!$V$21,"",IF(livegame!$T$20,B1604,A1604))</f>
        <v/>
      </c>
    </row>
    <row r="1605" spans="1:2">
      <c r="A1605" t="str">
        <f>IF(livegame!$V$21,"",IF(A1605&lt;&gt;"",A1605,IF(AND(livegame!$T$20,livegame!$U$20&lt;&gt;"",B1605="",B1604&lt;&gt;""),livegame!$U$20,"")))</f>
        <v/>
      </c>
      <c r="B1605" t="str">
        <f>IF(livegame!$V$21,"",IF(livegame!$T$20,B1605,A1605))</f>
        <v/>
      </c>
    </row>
    <row r="1606" spans="1:2">
      <c r="A1606" t="str">
        <f>IF(livegame!$V$21,"",IF(A1606&lt;&gt;"",A1606,IF(AND(livegame!$T$20,livegame!$U$20&lt;&gt;"",B1606="",B1605&lt;&gt;""),livegame!$U$20,"")))</f>
        <v/>
      </c>
      <c r="B1606" t="str">
        <f>IF(livegame!$V$21,"",IF(livegame!$T$20,B1606,A1606))</f>
        <v/>
      </c>
    </row>
    <row r="1607" spans="1:2">
      <c r="A1607" t="str">
        <f>IF(livegame!$V$21,"",IF(A1607&lt;&gt;"",A1607,IF(AND(livegame!$T$20,livegame!$U$20&lt;&gt;"",B1607="",B1606&lt;&gt;""),livegame!$U$20,"")))</f>
        <v/>
      </c>
      <c r="B1607" t="str">
        <f>IF(livegame!$V$21,"",IF(livegame!$T$20,B1607,A1607))</f>
        <v/>
      </c>
    </row>
    <row r="1608" spans="1:2">
      <c r="A1608" t="str">
        <f>IF(livegame!$V$21,"",IF(A1608&lt;&gt;"",A1608,IF(AND(livegame!$T$20,livegame!$U$20&lt;&gt;"",B1608="",B1607&lt;&gt;""),livegame!$U$20,"")))</f>
        <v/>
      </c>
      <c r="B1608" t="str">
        <f>IF(livegame!$V$21,"",IF(livegame!$T$20,B1608,A1608))</f>
        <v/>
      </c>
    </row>
    <row r="1609" spans="1:2">
      <c r="A1609" t="str">
        <f>IF(livegame!$V$21,"",IF(A1609&lt;&gt;"",A1609,IF(AND(livegame!$T$20,livegame!$U$20&lt;&gt;"",B1609="",B1608&lt;&gt;""),livegame!$U$20,"")))</f>
        <v/>
      </c>
      <c r="B1609" t="str">
        <f>IF(livegame!$V$21,"",IF(livegame!$T$20,B1609,A1609))</f>
        <v/>
      </c>
    </row>
    <row r="1610" spans="1:2">
      <c r="A1610" t="str">
        <f>IF(livegame!$V$21,"",IF(A1610&lt;&gt;"",A1610,IF(AND(livegame!$T$20,livegame!$U$20&lt;&gt;"",B1610="",B1609&lt;&gt;""),livegame!$U$20,"")))</f>
        <v/>
      </c>
      <c r="B1610" t="str">
        <f>IF(livegame!$V$21,"",IF(livegame!$T$20,B1610,A1610))</f>
        <v/>
      </c>
    </row>
    <row r="1611" spans="1:2">
      <c r="A1611" t="str">
        <f>IF(livegame!$V$21,"",IF(A1611&lt;&gt;"",A1611,IF(AND(livegame!$T$20,livegame!$U$20&lt;&gt;"",B1611="",B1610&lt;&gt;""),livegame!$U$20,"")))</f>
        <v/>
      </c>
      <c r="B1611" t="str">
        <f>IF(livegame!$V$21,"",IF(livegame!$T$20,B1611,A1611))</f>
        <v/>
      </c>
    </row>
    <row r="1612" spans="1:2">
      <c r="A1612" t="str">
        <f>IF(livegame!$V$21,"",IF(A1612&lt;&gt;"",A1612,IF(AND(livegame!$T$20,livegame!$U$20&lt;&gt;"",B1612="",B1611&lt;&gt;""),livegame!$U$20,"")))</f>
        <v/>
      </c>
      <c r="B1612" t="str">
        <f>IF(livegame!$V$21,"",IF(livegame!$T$20,B1612,A1612))</f>
        <v/>
      </c>
    </row>
    <row r="1613" spans="1:2">
      <c r="A1613" t="str">
        <f>IF(livegame!$V$21,"",IF(A1613&lt;&gt;"",A1613,IF(AND(livegame!$T$20,livegame!$U$20&lt;&gt;"",B1613="",B1612&lt;&gt;""),livegame!$U$20,"")))</f>
        <v/>
      </c>
      <c r="B1613" t="str">
        <f>IF(livegame!$V$21,"",IF(livegame!$T$20,B1613,A1613))</f>
        <v/>
      </c>
    </row>
    <row r="1614" spans="1:2">
      <c r="A1614" t="str">
        <f>IF(livegame!$V$21,"",IF(A1614&lt;&gt;"",A1614,IF(AND(livegame!$T$20,livegame!$U$20&lt;&gt;"",B1614="",B1613&lt;&gt;""),livegame!$U$20,"")))</f>
        <v/>
      </c>
      <c r="B1614" t="str">
        <f>IF(livegame!$V$21,"",IF(livegame!$T$20,B1614,A1614))</f>
        <v/>
      </c>
    </row>
    <row r="1615" spans="1:2">
      <c r="A1615" t="str">
        <f>IF(livegame!$V$21,"",IF(A1615&lt;&gt;"",A1615,IF(AND(livegame!$T$20,livegame!$U$20&lt;&gt;"",B1615="",B1614&lt;&gt;""),livegame!$U$20,"")))</f>
        <v/>
      </c>
      <c r="B1615" t="str">
        <f>IF(livegame!$V$21,"",IF(livegame!$T$20,B1615,A1615))</f>
        <v/>
      </c>
    </row>
    <row r="1616" spans="1:2">
      <c r="A1616" t="str">
        <f>IF(livegame!$V$21,"",IF(A1616&lt;&gt;"",A1616,IF(AND(livegame!$T$20,livegame!$U$20&lt;&gt;"",B1616="",B1615&lt;&gt;""),livegame!$U$20,"")))</f>
        <v/>
      </c>
      <c r="B1616" t="str">
        <f>IF(livegame!$V$21,"",IF(livegame!$T$20,B1616,A1616))</f>
        <v/>
      </c>
    </row>
    <row r="1617" spans="1:2">
      <c r="A1617" t="str">
        <f>IF(livegame!$V$21,"",IF(A1617&lt;&gt;"",A1617,IF(AND(livegame!$T$20,livegame!$U$20&lt;&gt;"",B1617="",B1616&lt;&gt;""),livegame!$U$20,"")))</f>
        <v/>
      </c>
      <c r="B1617" t="str">
        <f>IF(livegame!$V$21,"",IF(livegame!$T$20,B1617,A1617))</f>
        <v/>
      </c>
    </row>
    <row r="1618" spans="1:2">
      <c r="A1618" t="str">
        <f>IF(livegame!$V$21,"",IF(A1618&lt;&gt;"",A1618,IF(AND(livegame!$T$20,livegame!$U$20&lt;&gt;"",B1618="",B1617&lt;&gt;""),livegame!$U$20,"")))</f>
        <v/>
      </c>
      <c r="B1618" t="str">
        <f>IF(livegame!$V$21,"",IF(livegame!$T$20,B1618,A1618))</f>
        <v/>
      </c>
    </row>
    <row r="1619" spans="1:2">
      <c r="A1619" t="str">
        <f>IF(livegame!$V$21,"",IF(A1619&lt;&gt;"",A1619,IF(AND(livegame!$T$20,livegame!$U$20&lt;&gt;"",B1619="",B1618&lt;&gt;""),livegame!$U$20,"")))</f>
        <v/>
      </c>
      <c r="B1619" t="str">
        <f>IF(livegame!$V$21,"",IF(livegame!$T$20,B1619,A1619))</f>
        <v/>
      </c>
    </row>
    <row r="1620" spans="1:2">
      <c r="A1620" t="str">
        <f>IF(livegame!$V$21,"",IF(A1620&lt;&gt;"",A1620,IF(AND(livegame!$T$20,livegame!$U$20&lt;&gt;"",B1620="",B1619&lt;&gt;""),livegame!$U$20,"")))</f>
        <v/>
      </c>
      <c r="B1620" t="str">
        <f>IF(livegame!$V$21,"",IF(livegame!$T$20,B1620,A1620))</f>
        <v/>
      </c>
    </row>
    <row r="1621" spans="1:2">
      <c r="A1621" t="str">
        <f>IF(livegame!$V$21,"",IF(A1621&lt;&gt;"",A1621,IF(AND(livegame!$T$20,livegame!$U$20&lt;&gt;"",B1621="",B1620&lt;&gt;""),livegame!$U$20,"")))</f>
        <v/>
      </c>
      <c r="B1621" t="str">
        <f>IF(livegame!$V$21,"",IF(livegame!$T$20,B1621,A1621))</f>
        <v/>
      </c>
    </row>
    <row r="1622" spans="1:2">
      <c r="A1622" t="str">
        <f>IF(livegame!$V$21,"",IF(A1622&lt;&gt;"",A1622,IF(AND(livegame!$T$20,livegame!$U$20&lt;&gt;"",B1622="",B1621&lt;&gt;""),livegame!$U$20,"")))</f>
        <v/>
      </c>
      <c r="B1622" t="str">
        <f>IF(livegame!$V$21,"",IF(livegame!$T$20,B1622,A1622))</f>
        <v/>
      </c>
    </row>
    <row r="1623" spans="1:2">
      <c r="A1623" t="str">
        <f>IF(livegame!$V$21,"",IF(A1623&lt;&gt;"",A1623,IF(AND(livegame!$T$20,livegame!$U$20&lt;&gt;"",B1623="",B1622&lt;&gt;""),livegame!$U$20,"")))</f>
        <v/>
      </c>
      <c r="B1623" t="str">
        <f>IF(livegame!$V$21,"",IF(livegame!$T$20,B1623,A1623))</f>
        <v/>
      </c>
    </row>
    <row r="1624" spans="1:2">
      <c r="A1624" t="str">
        <f>IF(livegame!$V$21,"",IF(A1624&lt;&gt;"",A1624,IF(AND(livegame!$T$20,livegame!$U$20&lt;&gt;"",B1624="",B1623&lt;&gt;""),livegame!$U$20,"")))</f>
        <v/>
      </c>
      <c r="B1624" t="str">
        <f>IF(livegame!$V$21,"",IF(livegame!$T$20,B1624,A1624))</f>
        <v/>
      </c>
    </row>
    <row r="1625" spans="1:2">
      <c r="A1625" t="str">
        <f>IF(livegame!$V$21,"",IF(A1625&lt;&gt;"",A1625,IF(AND(livegame!$T$20,livegame!$U$20&lt;&gt;"",B1625="",B1624&lt;&gt;""),livegame!$U$20,"")))</f>
        <v/>
      </c>
      <c r="B1625" t="str">
        <f>IF(livegame!$V$21,"",IF(livegame!$T$20,B1625,A1625))</f>
        <v/>
      </c>
    </row>
    <row r="1626" spans="1:2">
      <c r="A1626" t="str">
        <f>IF(livegame!$V$21,"",IF(A1626&lt;&gt;"",A1626,IF(AND(livegame!$T$20,livegame!$U$20&lt;&gt;"",B1626="",B1625&lt;&gt;""),livegame!$U$20,"")))</f>
        <v/>
      </c>
      <c r="B1626" t="str">
        <f>IF(livegame!$V$21,"",IF(livegame!$T$20,B1626,A1626))</f>
        <v/>
      </c>
    </row>
    <row r="1627" spans="1:2">
      <c r="A1627" t="str">
        <f>IF(livegame!$V$21,"",IF(A1627&lt;&gt;"",A1627,IF(AND(livegame!$T$20,livegame!$U$20&lt;&gt;"",B1627="",B1626&lt;&gt;""),livegame!$U$20,"")))</f>
        <v/>
      </c>
      <c r="B1627" t="str">
        <f>IF(livegame!$V$21,"",IF(livegame!$T$20,B1627,A1627))</f>
        <v/>
      </c>
    </row>
    <row r="1628" spans="1:2">
      <c r="A1628" t="str">
        <f>IF(livegame!$V$21,"",IF(A1628&lt;&gt;"",A1628,IF(AND(livegame!$T$20,livegame!$U$20&lt;&gt;"",B1628="",B1627&lt;&gt;""),livegame!$U$20,"")))</f>
        <v/>
      </c>
      <c r="B1628" t="str">
        <f>IF(livegame!$V$21,"",IF(livegame!$T$20,B1628,A1628))</f>
        <v/>
      </c>
    </row>
    <row r="1629" spans="1:2">
      <c r="A1629" t="str">
        <f>IF(livegame!$V$21,"",IF(A1629&lt;&gt;"",A1629,IF(AND(livegame!$T$20,livegame!$U$20&lt;&gt;"",B1629="",B1628&lt;&gt;""),livegame!$U$20,"")))</f>
        <v/>
      </c>
      <c r="B1629" t="str">
        <f>IF(livegame!$V$21,"",IF(livegame!$T$20,B1629,A1629))</f>
        <v/>
      </c>
    </row>
    <row r="1630" spans="1:2">
      <c r="A1630" t="str">
        <f>IF(livegame!$V$21,"",IF(A1630&lt;&gt;"",A1630,IF(AND(livegame!$T$20,livegame!$U$20&lt;&gt;"",B1630="",B1629&lt;&gt;""),livegame!$U$20,"")))</f>
        <v/>
      </c>
      <c r="B1630" t="str">
        <f>IF(livegame!$V$21,"",IF(livegame!$T$20,B1630,A1630))</f>
        <v/>
      </c>
    </row>
    <row r="1631" spans="1:2">
      <c r="A1631" t="str">
        <f>IF(livegame!$V$21,"",IF(A1631&lt;&gt;"",A1631,IF(AND(livegame!$T$20,livegame!$U$20&lt;&gt;"",B1631="",B1630&lt;&gt;""),livegame!$U$20,"")))</f>
        <v/>
      </c>
      <c r="B1631" t="str">
        <f>IF(livegame!$V$21,"",IF(livegame!$T$20,B1631,A1631))</f>
        <v/>
      </c>
    </row>
    <row r="1632" spans="1:2">
      <c r="A1632" t="str">
        <f>IF(livegame!$V$21,"",IF(A1632&lt;&gt;"",A1632,IF(AND(livegame!$T$20,livegame!$U$20&lt;&gt;"",B1632="",B1631&lt;&gt;""),livegame!$U$20,"")))</f>
        <v/>
      </c>
      <c r="B1632" t="str">
        <f>IF(livegame!$V$21,"",IF(livegame!$T$20,B1632,A1632))</f>
        <v/>
      </c>
    </row>
    <row r="1633" spans="1:2">
      <c r="A1633" t="str">
        <f>IF(livegame!$V$21,"",IF(A1633&lt;&gt;"",A1633,IF(AND(livegame!$T$20,livegame!$U$20&lt;&gt;"",B1633="",B1632&lt;&gt;""),livegame!$U$20,"")))</f>
        <v/>
      </c>
      <c r="B1633" t="str">
        <f>IF(livegame!$V$21,"",IF(livegame!$T$20,B1633,A1633))</f>
        <v/>
      </c>
    </row>
    <row r="1634" spans="1:2">
      <c r="A1634" t="str">
        <f>IF(livegame!$V$21,"",IF(A1634&lt;&gt;"",A1634,IF(AND(livegame!$T$20,livegame!$U$20&lt;&gt;"",B1634="",B1633&lt;&gt;""),livegame!$U$20,"")))</f>
        <v/>
      </c>
      <c r="B1634" t="str">
        <f>IF(livegame!$V$21,"",IF(livegame!$T$20,B1634,A1634))</f>
        <v/>
      </c>
    </row>
    <row r="1635" spans="1:2">
      <c r="A1635" t="str">
        <f>IF(livegame!$V$21,"",IF(A1635&lt;&gt;"",A1635,IF(AND(livegame!$T$20,livegame!$U$20&lt;&gt;"",B1635="",B1634&lt;&gt;""),livegame!$U$20,"")))</f>
        <v/>
      </c>
      <c r="B1635" t="str">
        <f>IF(livegame!$V$21,"",IF(livegame!$T$20,B1635,A1635))</f>
        <v/>
      </c>
    </row>
    <row r="1636" spans="1:2">
      <c r="A1636" t="str">
        <f>IF(livegame!$V$21,"",IF(A1636&lt;&gt;"",A1636,IF(AND(livegame!$T$20,livegame!$U$20&lt;&gt;"",B1636="",B1635&lt;&gt;""),livegame!$U$20,"")))</f>
        <v/>
      </c>
      <c r="B1636" t="str">
        <f>IF(livegame!$V$21,"",IF(livegame!$T$20,B1636,A1636))</f>
        <v/>
      </c>
    </row>
    <row r="1637" spans="1:2">
      <c r="A1637" t="str">
        <f>IF(livegame!$V$21,"",IF(A1637&lt;&gt;"",A1637,IF(AND(livegame!$T$20,livegame!$U$20&lt;&gt;"",B1637="",B1636&lt;&gt;""),livegame!$U$20,"")))</f>
        <v/>
      </c>
      <c r="B1637" t="str">
        <f>IF(livegame!$V$21,"",IF(livegame!$T$20,B1637,A1637))</f>
        <v/>
      </c>
    </row>
    <row r="1638" spans="1:2">
      <c r="A1638" t="str">
        <f>IF(livegame!$V$21,"",IF(A1638&lt;&gt;"",A1638,IF(AND(livegame!$T$20,livegame!$U$20&lt;&gt;"",B1638="",B1637&lt;&gt;""),livegame!$U$20,"")))</f>
        <v/>
      </c>
      <c r="B1638" t="str">
        <f>IF(livegame!$V$21,"",IF(livegame!$T$20,B1638,A1638))</f>
        <v/>
      </c>
    </row>
    <row r="1639" spans="1:2">
      <c r="A1639" t="str">
        <f>IF(livegame!$V$21,"",IF(A1639&lt;&gt;"",A1639,IF(AND(livegame!$T$20,livegame!$U$20&lt;&gt;"",B1639="",B1638&lt;&gt;""),livegame!$U$20,"")))</f>
        <v/>
      </c>
      <c r="B1639" t="str">
        <f>IF(livegame!$V$21,"",IF(livegame!$T$20,B1639,A1639))</f>
        <v/>
      </c>
    </row>
    <row r="1640" spans="1:2">
      <c r="A1640" t="str">
        <f>IF(livegame!$V$21,"",IF(A1640&lt;&gt;"",A1640,IF(AND(livegame!$T$20,livegame!$U$20&lt;&gt;"",B1640="",B1639&lt;&gt;""),livegame!$U$20,"")))</f>
        <v/>
      </c>
      <c r="B1640" t="str">
        <f>IF(livegame!$V$21,"",IF(livegame!$T$20,B1640,A1640))</f>
        <v/>
      </c>
    </row>
    <row r="1641" spans="1:2">
      <c r="A1641" t="str">
        <f>IF(livegame!$V$21,"",IF(A1641&lt;&gt;"",A1641,IF(AND(livegame!$T$20,livegame!$U$20&lt;&gt;"",B1641="",B1640&lt;&gt;""),livegame!$U$20,"")))</f>
        <v/>
      </c>
      <c r="B1641" t="str">
        <f>IF(livegame!$V$21,"",IF(livegame!$T$20,B1641,A1641))</f>
        <v/>
      </c>
    </row>
    <row r="1642" spans="1:2">
      <c r="A1642" t="str">
        <f>IF(livegame!$V$21,"",IF(A1642&lt;&gt;"",A1642,IF(AND(livegame!$T$20,livegame!$U$20&lt;&gt;"",B1642="",B1641&lt;&gt;""),livegame!$U$20,"")))</f>
        <v/>
      </c>
      <c r="B1642" t="str">
        <f>IF(livegame!$V$21,"",IF(livegame!$T$20,B1642,A1642))</f>
        <v/>
      </c>
    </row>
    <row r="1643" spans="1:2">
      <c r="A1643" t="str">
        <f>IF(livegame!$V$21,"",IF(A1643&lt;&gt;"",A1643,IF(AND(livegame!$T$20,livegame!$U$20&lt;&gt;"",B1643="",B1642&lt;&gt;""),livegame!$U$20,"")))</f>
        <v/>
      </c>
      <c r="B1643" t="str">
        <f>IF(livegame!$V$21,"",IF(livegame!$T$20,B1643,A1643))</f>
        <v/>
      </c>
    </row>
    <row r="1644" spans="1:2">
      <c r="A1644" t="str">
        <f>IF(livegame!$V$21,"",IF(A1644&lt;&gt;"",A1644,IF(AND(livegame!$T$20,livegame!$U$20&lt;&gt;"",B1644="",B1643&lt;&gt;""),livegame!$U$20,"")))</f>
        <v/>
      </c>
      <c r="B1644" t="str">
        <f>IF(livegame!$V$21,"",IF(livegame!$T$20,B1644,A1644))</f>
        <v/>
      </c>
    </row>
    <row r="1645" spans="1:2">
      <c r="A1645" t="str">
        <f>IF(livegame!$V$21,"",IF(A1645&lt;&gt;"",A1645,IF(AND(livegame!$T$20,livegame!$U$20&lt;&gt;"",B1645="",B1644&lt;&gt;""),livegame!$U$20,"")))</f>
        <v/>
      </c>
      <c r="B1645" t="str">
        <f>IF(livegame!$V$21,"",IF(livegame!$T$20,B1645,A1645))</f>
        <v/>
      </c>
    </row>
    <row r="1646" spans="1:2">
      <c r="A1646" t="str">
        <f>IF(livegame!$V$21,"",IF(A1646&lt;&gt;"",A1646,IF(AND(livegame!$T$20,livegame!$U$20&lt;&gt;"",B1646="",B1645&lt;&gt;""),livegame!$U$20,"")))</f>
        <v/>
      </c>
      <c r="B1646" t="str">
        <f>IF(livegame!$V$21,"",IF(livegame!$T$20,B1646,A1646))</f>
        <v/>
      </c>
    </row>
    <row r="1647" spans="1:2">
      <c r="A1647" t="str">
        <f>IF(livegame!$V$21,"",IF(A1647&lt;&gt;"",A1647,IF(AND(livegame!$T$20,livegame!$U$20&lt;&gt;"",B1647="",B1646&lt;&gt;""),livegame!$U$20,"")))</f>
        <v/>
      </c>
      <c r="B1647" t="str">
        <f>IF(livegame!$V$21,"",IF(livegame!$T$20,B1647,A1647))</f>
        <v/>
      </c>
    </row>
    <row r="1648" spans="1:2">
      <c r="A1648" t="str">
        <f>IF(livegame!$V$21,"",IF(A1648&lt;&gt;"",A1648,IF(AND(livegame!$T$20,livegame!$U$20&lt;&gt;"",B1648="",B1647&lt;&gt;""),livegame!$U$20,"")))</f>
        <v/>
      </c>
      <c r="B1648" t="str">
        <f>IF(livegame!$V$21,"",IF(livegame!$T$20,B1648,A1648))</f>
        <v/>
      </c>
    </row>
    <row r="1649" spans="1:2">
      <c r="A1649" t="str">
        <f>IF(livegame!$V$21,"",IF(A1649&lt;&gt;"",A1649,IF(AND(livegame!$T$20,livegame!$U$20&lt;&gt;"",B1649="",B1648&lt;&gt;""),livegame!$U$20,"")))</f>
        <v/>
      </c>
      <c r="B1649" t="str">
        <f>IF(livegame!$V$21,"",IF(livegame!$T$20,B1649,A1649))</f>
        <v/>
      </c>
    </row>
    <row r="1650" spans="1:2">
      <c r="A1650" t="str">
        <f>IF(livegame!$V$21,"",IF(A1650&lt;&gt;"",A1650,IF(AND(livegame!$T$20,livegame!$U$20&lt;&gt;"",B1650="",B1649&lt;&gt;""),livegame!$U$20,"")))</f>
        <v/>
      </c>
      <c r="B1650" t="str">
        <f>IF(livegame!$V$21,"",IF(livegame!$T$20,B1650,A1650))</f>
        <v/>
      </c>
    </row>
    <row r="1651" spans="1:2">
      <c r="A1651" t="str">
        <f>IF(livegame!$V$21,"",IF(A1651&lt;&gt;"",A1651,IF(AND(livegame!$T$20,livegame!$U$20&lt;&gt;"",B1651="",B1650&lt;&gt;""),livegame!$U$20,"")))</f>
        <v/>
      </c>
      <c r="B1651" t="str">
        <f>IF(livegame!$V$21,"",IF(livegame!$T$20,B1651,A1651))</f>
        <v/>
      </c>
    </row>
    <row r="1652" spans="1:2">
      <c r="A1652" t="str">
        <f>IF(livegame!$V$21,"",IF(A1652&lt;&gt;"",A1652,IF(AND(livegame!$T$20,livegame!$U$20&lt;&gt;"",B1652="",B1651&lt;&gt;""),livegame!$U$20,"")))</f>
        <v/>
      </c>
      <c r="B1652" t="str">
        <f>IF(livegame!$V$21,"",IF(livegame!$T$20,B1652,A1652))</f>
        <v/>
      </c>
    </row>
    <row r="1653" spans="1:2">
      <c r="A1653" t="str">
        <f>IF(livegame!$V$21,"",IF(A1653&lt;&gt;"",A1653,IF(AND(livegame!$T$20,livegame!$U$20&lt;&gt;"",B1653="",B1652&lt;&gt;""),livegame!$U$20,"")))</f>
        <v/>
      </c>
      <c r="B1653" t="str">
        <f>IF(livegame!$V$21,"",IF(livegame!$T$20,B1653,A1653))</f>
        <v/>
      </c>
    </row>
    <row r="1654" spans="1:2">
      <c r="A1654" t="str">
        <f>IF(livegame!$V$21,"",IF(A1654&lt;&gt;"",A1654,IF(AND(livegame!$T$20,livegame!$U$20&lt;&gt;"",B1654="",B1653&lt;&gt;""),livegame!$U$20,"")))</f>
        <v/>
      </c>
      <c r="B1654" t="str">
        <f>IF(livegame!$V$21,"",IF(livegame!$T$20,B1654,A1654))</f>
        <v/>
      </c>
    </row>
    <row r="1655" spans="1:2">
      <c r="A1655" t="str">
        <f>IF(livegame!$V$21,"",IF(A1655&lt;&gt;"",A1655,IF(AND(livegame!$T$20,livegame!$U$20&lt;&gt;"",B1655="",B1654&lt;&gt;""),livegame!$U$20,"")))</f>
        <v/>
      </c>
      <c r="B1655" t="str">
        <f>IF(livegame!$V$21,"",IF(livegame!$T$20,B1655,A1655))</f>
        <v/>
      </c>
    </row>
    <row r="1656" spans="1:2">
      <c r="A1656" t="str">
        <f>IF(livegame!$V$21,"",IF(A1656&lt;&gt;"",A1656,IF(AND(livegame!$T$20,livegame!$U$20&lt;&gt;"",B1656="",B1655&lt;&gt;""),livegame!$U$20,"")))</f>
        <v/>
      </c>
      <c r="B1656" t="str">
        <f>IF(livegame!$V$21,"",IF(livegame!$T$20,B1656,A1656))</f>
        <v/>
      </c>
    </row>
    <row r="1657" spans="1:2">
      <c r="A1657" t="str">
        <f>IF(livegame!$V$21,"",IF(A1657&lt;&gt;"",A1657,IF(AND(livegame!$T$20,livegame!$U$20&lt;&gt;"",B1657="",B1656&lt;&gt;""),livegame!$U$20,"")))</f>
        <v/>
      </c>
      <c r="B1657" t="str">
        <f>IF(livegame!$V$21,"",IF(livegame!$T$20,B1657,A1657))</f>
        <v/>
      </c>
    </row>
    <row r="1658" spans="1:2">
      <c r="A1658" t="str">
        <f>IF(livegame!$V$21,"",IF(A1658&lt;&gt;"",A1658,IF(AND(livegame!$T$20,livegame!$U$20&lt;&gt;"",B1658="",B1657&lt;&gt;""),livegame!$U$20,"")))</f>
        <v/>
      </c>
      <c r="B1658" t="str">
        <f>IF(livegame!$V$21,"",IF(livegame!$T$20,B1658,A1658))</f>
        <v/>
      </c>
    </row>
    <row r="1659" spans="1:2">
      <c r="A1659" t="str">
        <f>IF(livegame!$V$21,"",IF(A1659&lt;&gt;"",A1659,IF(AND(livegame!$T$20,livegame!$U$20&lt;&gt;"",B1659="",B1658&lt;&gt;""),livegame!$U$20,"")))</f>
        <v/>
      </c>
      <c r="B1659" t="str">
        <f>IF(livegame!$V$21,"",IF(livegame!$T$20,B1659,A1659))</f>
        <v/>
      </c>
    </row>
    <row r="1660" spans="1:2">
      <c r="A1660" t="str">
        <f>IF(livegame!$V$21,"",IF(A1660&lt;&gt;"",A1660,IF(AND(livegame!$T$20,livegame!$U$20&lt;&gt;"",B1660="",B1659&lt;&gt;""),livegame!$U$20,"")))</f>
        <v/>
      </c>
      <c r="B1660" t="str">
        <f>IF(livegame!$V$21,"",IF(livegame!$T$20,B1660,A1660))</f>
        <v/>
      </c>
    </row>
    <row r="1661" spans="1:2">
      <c r="A1661" t="str">
        <f>IF(livegame!$V$21,"",IF(A1661&lt;&gt;"",A1661,IF(AND(livegame!$T$20,livegame!$U$20&lt;&gt;"",B1661="",B1660&lt;&gt;""),livegame!$U$20,"")))</f>
        <v/>
      </c>
      <c r="B1661" t="str">
        <f>IF(livegame!$V$21,"",IF(livegame!$T$20,B1661,A1661))</f>
        <v/>
      </c>
    </row>
    <row r="1662" spans="1:2">
      <c r="A1662" t="str">
        <f>IF(livegame!$V$21,"",IF(A1662&lt;&gt;"",A1662,IF(AND(livegame!$T$20,livegame!$U$20&lt;&gt;"",B1662="",B1661&lt;&gt;""),livegame!$U$20,"")))</f>
        <v/>
      </c>
      <c r="B1662" t="str">
        <f>IF(livegame!$V$21,"",IF(livegame!$T$20,B1662,A1662))</f>
        <v/>
      </c>
    </row>
    <row r="1663" spans="1:2">
      <c r="A1663" t="str">
        <f>IF(livegame!$V$21,"",IF(A1663&lt;&gt;"",A1663,IF(AND(livegame!$T$20,livegame!$U$20&lt;&gt;"",B1663="",B1662&lt;&gt;""),livegame!$U$20,"")))</f>
        <v/>
      </c>
      <c r="B1663" t="str">
        <f>IF(livegame!$V$21,"",IF(livegame!$T$20,B1663,A1663))</f>
        <v/>
      </c>
    </row>
    <row r="1664" spans="1:2">
      <c r="A1664" t="str">
        <f>IF(livegame!$V$21,"",IF(A1664&lt;&gt;"",A1664,IF(AND(livegame!$T$20,livegame!$U$20&lt;&gt;"",B1664="",B1663&lt;&gt;""),livegame!$U$20,"")))</f>
        <v/>
      </c>
      <c r="B1664" t="str">
        <f>IF(livegame!$V$21,"",IF(livegame!$T$20,B1664,A1664))</f>
        <v/>
      </c>
    </row>
    <row r="1665" spans="1:2">
      <c r="A1665" t="str">
        <f>IF(livegame!$V$21,"",IF(A1665&lt;&gt;"",A1665,IF(AND(livegame!$T$20,livegame!$U$20&lt;&gt;"",B1665="",B1664&lt;&gt;""),livegame!$U$20,"")))</f>
        <v/>
      </c>
      <c r="B1665" t="str">
        <f>IF(livegame!$V$21,"",IF(livegame!$T$20,B1665,A1665))</f>
        <v/>
      </c>
    </row>
    <row r="1666" spans="1:2">
      <c r="A1666" t="str">
        <f>IF(livegame!$V$21,"",IF(A1666&lt;&gt;"",A1666,IF(AND(livegame!$T$20,livegame!$U$20&lt;&gt;"",B1666="",B1665&lt;&gt;""),livegame!$U$20,"")))</f>
        <v/>
      </c>
      <c r="B1666" t="str">
        <f>IF(livegame!$V$21,"",IF(livegame!$T$20,B1666,A1666))</f>
        <v/>
      </c>
    </row>
    <row r="1667" spans="1:2">
      <c r="A1667" t="str">
        <f>IF(livegame!$V$21,"",IF(A1667&lt;&gt;"",A1667,IF(AND(livegame!$T$20,livegame!$U$20&lt;&gt;"",B1667="",B1666&lt;&gt;""),livegame!$U$20,"")))</f>
        <v/>
      </c>
      <c r="B1667" t="str">
        <f>IF(livegame!$V$21,"",IF(livegame!$T$20,B1667,A1667))</f>
        <v/>
      </c>
    </row>
    <row r="1668" spans="1:2">
      <c r="A1668" t="str">
        <f>IF(livegame!$V$21,"",IF(A1668&lt;&gt;"",A1668,IF(AND(livegame!$T$20,livegame!$U$20&lt;&gt;"",B1668="",B1667&lt;&gt;""),livegame!$U$20,"")))</f>
        <v/>
      </c>
      <c r="B1668" t="str">
        <f>IF(livegame!$V$21,"",IF(livegame!$T$20,B1668,A1668))</f>
        <v/>
      </c>
    </row>
    <row r="1669" spans="1:2">
      <c r="A1669" t="str">
        <f>IF(livegame!$V$21,"",IF(A1669&lt;&gt;"",A1669,IF(AND(livegame!$T$20,livegame!$U$20&lt;&gt;"",B1669="",B1668&lt;&gt;""),livegame!$U$20,"")))</f>
        <v/>
      </c>
      <c r="B1669" t="str">
        <f>IF(livegame!$V$21,"",IF(livegame!$T$20,B1669,A1669))</f>
        <v/>
      </c>
    </row>
    <row r="1670" spans="1:2">
      <c r="A1670" t="str">
        <f>IF(livegame!$V$21,"",IF(A1670&lt;&gt;"",A1670,IF(AND(livegame!$T$20,livegame!$U$20&lt;&gt;"",B1670="",B1669&lt;&gt;""),livegame!$U$20,"")))</f>
        <v/>
      </c>
      <c r="B1670" t="str">
        <f>IF(livegame!$V$21,"",IF(livegame!$T$20,B1670,A1670))</f>
        <v/>
      </c>
    </row>
    <row r="1671" spans="1:2">
      <c r="A1671" t="str">
        <f>IF(livegame!$V$21,"",IF(A1671&lt;&gt;"",A1671,IF(AND(livegame!$T$20,livegame!$U$20&lt;&gt;"",B1671="",B1670&lt;&gt;""),livegame!$U$20,"")))</f>
        <v/>
      </c>
      <c r="B1671" t="str">
        <f>IF(livegame!$V$21,"",IF(livegame!$T$20,B1671,A1671))</f>
        <v/>
      </c>
    </row>
    <row r="1672" spans="1:2">
      <c r="A1672" t="str">
        <f>IF(livegame!$V$21,"",IF(A1672&lt;&gt;"",A1672,IF(AND(livegame!$T$20,livegame!$U$20&lt;&gt;"",B1672="",B1671&lt;&gt;""),livegame!$U$20,"")))</f>
        <v/>
      </c>
      <c r="B1672" t="str">
        <f>IF(livegame!$V$21,"",IF(livegame!$T$20,B1672,A1672))</f>
        <v/>
      </c>
    </row>
    <row r="1673" spans="1:2">
      <c r="A1673" t="str">
        <f>IF(livegame!$V$21,"",IF(A1673&lt;&gt;"",A1673,IF(AND(livegame!$T$20,livegame!$U$20&lt;&gt;"",B1673="",B1672&lt;&gt;""),livegame!$U$20,"")))</f>
        <v/>
      </c>
      <c r="B1673" t="str">
        <f>IF(livegame!$V$21,"",IF(livegame!$T$20,B1673,A1673))</f>
        <v/>
      </c>
    </row>
    <row r="1674" spans="1:2">
      <c r="A1674" t="str">
        <f>IF(livegame!$V$21,"",IF(A1674&lt;&gt;"",A1674,IF(AND(livegame!$T$20,livegame!$U$20&lt;&gt;"",B1674="",B1673&lt;&gt;""),livegame!$U$20,"")))</f>
        <v/>
      </c>
      <c r="B1674" t="str">
        <f>IF(livegame!$V$21,"",IF(livegame!$T$20,B1674,A1674))</f>
        <v/>
      </c>
    </row>
    <row r="1675" spans="1:2">
      <c r="A1675" t="str">
        <f>IF(livegame!$V$21,"",IF(A1675&lt;&gt;"",A1675,IF(AND(livegame!$T$20,livegame!$U$20&lt;&gt;"",B1675="",B1674&lt;&gt;""),livegame!$U$20,"")))</f>
        <v/>
      </c>
      <c r="B1675" t="str">
        <f>IF(livegame!$V$21,"",IF(livegame!$T$20,B1675,A1675))</f>
        <v/>
      </c>
    </row>
    <row r="1676" spans="1:2">
      <c r="A1676" t="str">
        <f>IF(livegame!$V$21,"",IF(A1676&lt;&gt;"",A1676,IF(AND(livegame!$T$20,livegame!$U$20&lt;&gt;"",B1676="",B1675&lt;&gt;""),livegame!$U$20,"")))</f>
        <v/>
      </c>
      <c r="B1676" t="str">
        <f>IF(livegame!$V$21,"",IF(livegame!$T$20,B1676,A1676))</f>
        <v/>
      </c>
    </row>
    <row r="1677" spans="1:2">
      <c r="A1677" t="str">
        <f>IF(livegame!$V$21,"",IF(A1677&lt;&gt;"",A1677,IF(AND(livegame!$T$20,livegame!$U$20&lt;&gt;"",B1677="",B1676&lt;&gt;""),livegame!$U$20,"")))</f>
        <v/>
      </c>
      <c r="B1677" t="str">
        <f>IF(livegame!$V$21,"",IF(livegame!$T$20,B1677,A1677))</f>
        <v/>
      </c>
    </row>
    <row r="1678" spans="1:2">
      <c r="A1678" t="str">
        <f>IF(livegame!$V$21,"",IF(A1678&lt;&gt;"",A1678,IF(AND(livegame!$T$20,livegame!$U$20&lt;&gt;"",B1678="",B1677&lt;&gt;""),livegame!$U$20,"")))</f>
        <v/>
      </c>
      <c r="B1678" t="str">
        <f>IF(livegame!$V$21,"",IF(livegame!$T$20,B1678,A1678))</f>
        <v/>
      </c>
    </row>
    <row r="1679" spans="1:2">
      <c r="A1679" t="str">
        <f>IF(livegame!$V$21,"",IF(A1679&lt;&gt;"",A1679,IF(AND(livegame!$T$20,livegame!$U$20&lt;&gt;"",B1679="",B1678&lt;&gt;""),livegame!$U$20,"")))</f>
        <v/>
      </c>
      <c r="B1679" t="str">
        <f>IF(livegame!$V$21,"",IF(livegame!$T$20,B1679,A1679))</f>
        <v/>
      </c>
    </row>
    <row r="1680" spans="1:2">
      <c r="A1680" t="str">
        <f>IF(livegame!$V$21,"",IF(A1680&lt;&gt;"",A1680,IF(AND(livegame!$T$20,livegame!$U$20&lt;&gt;"",B1680="",B1679&lt;&gt;""),livegame!$U$20,"")))</f>
        <v/>
      </c>
      <c r="B1680" t="str">
        <f>IF(livegame!$V$21,"",IF(livegame!$T$20,B1680,A1680))</f>
        <v/>
      </c>
    </row>
    <row r="1681" spans="1:2">
      <c r="A1681" t="str">
        <f>IF(livegame!$V$21,"",IF(A1681&lt;&gt;"",A1681,IF(AND(livegame!$T$20,livegame!$U$20&lt;&gt;"",B1681="",B1680&lt;&gt;""),livegame!$U$20,"")))</f>
        <v/>
      </c>
      <c r="B1681" t="str">
        <f>IF(livegame!$V$21,"",IF(livegame!$T$20,B1681,A1681))</f>
        <v/>
      </c>
    </row>
    <row r="1682" spans="1:2">
      <c r="A1682" t="str">
        <f>IF(livegame!$V$21,"",IF(A1682&lt;&gt;"",A1682,IF(AND(livegame!$T$20,livegame!$U$20&lt;&gt;"",B1682="",B1681&lt;&gt;""),livegame!$U$20,"")))</f>
        <v/>
      </c>
      <c r="B1682" t="str">
        <f>IF(livegame!$V$21,"",IF(livegame!$T$20,B1682,A1682))</f>
        <v/>
      </c>
    </row>
    <row r="1683" spans="1:2">
      <c r="A1683" t="str">
        <f>IF(livegame!$V$21,"",IF(A1683&lt;&gt;"",A1683,IF(AND(livegame!$T$20,livegame!$U$20&lt;&gt;"",B1683="",B1682&lt;&gt;""),livegame!$U$20,"")))</f>
        <v/>
      </c>
      <c r="B1683" t="str">
        <f>IF(livegame!$V$21,"",IF(livegame!$T$20,B1683,A1683))</f>
        <v/>
      </c>
    </row>
    <row r="1684" spans="1:2">
      <c r="A1684" t="str">
        <f>IF(livegame!$V$21,"",IF(A1684&lt;&gt;"",A1684,IF(AND(livegame!$T$20,livegame!$U$20&lt;&gt;"",B1684="",B1683&lt;&gt;""),livegame!$U$20,"")))</f>
        <v/>
      </c>
      <c r="B1684" t="str">
        <f>IF(livegame!$V$21,"",IF(livegame!$T$20,B1684,A1684))</f>
        <v/>
      </c>
    </row>
    <row r="1685" spans="1:2">
      <c r="A1685" t="str">
        <f>IF(livegame!$V$21,"",IF(A1685&lt;&gt;"",A1685,IF(AND(livegame!$T$20,livegame!$U$20&lt;&gt;"",B1685="",B1684&lt;&gt;""),livegame!$U$20,"")))</f>
        <v/>
      </c>
      <c r="B1685" t="str">
        <f>IF(livegame!$V$21,"",IF(livegame!$T$20,B1685,A1685))</f>
        <v/>
      </c>
    </row>
    <row r="1686" spans="1:2">
      <c r="A1686" t="str">
        <f>IF(livegame!$V$21,"",IF(A1686&lt;&gt;"",A1686,IF(AND(livegame!$T$20,livegame!$U$20&lt;&gt;"",B1686="",B1685&lt;&gt;""),livegame!$U$20,"")))</f>
        <v/>
      </c>
      <c r="B1686" t="str">
        <f>IF(livegame!$V$21,"",IF(livegame!$T$20,B1686,A1686))</f>
        <v/>
      </c>
    </row>
    <row r="1687" spans="1:2">
      <c r="A1687" t="str">
        <f>IF(livegame!$V$21,"",IF(A1687&lt;&gt;"",A1687,IF(AND(livegame!$T$20,livegame!$U$20&lt;&gt;"",B1687="",B1686&lt;&gt;""),livegame!$U$20,"")))</f>
        <v/>
      </c>
      <c r="B1687" t="str">
        <f>IF(livegame!$V$21,"",IF(livegame!$T$20,B1687,A1687))</f>
        <v/>
      </c>
    </row>
    <row r="1688" spans="1:2">
      <c r="A1688" t="str">
        <f>IF(livegame!$V$21,"",IF(A1688&lt;&gt;"",A1688,IF(AND(livegame!$T$20,livegame!$U$20&lt;&gt;"",B1688="",B1687&lt;&gt;""),livegame!$U$20,"")))</f>
        <v/>
      </c>
      <c r="B1688" t="str">
        <f>IF(livegame!$V$21,"",IF(livegame!$T$20,B1688,A1688))</f>
        <v/>
      </c>
    </row>
    <row r="1689" spans="1:2">
      <c r="A1689" t="str">
        <f>IF(livegame!$V$21,"",IF(A1689&lt;&gt;"",A1689,IF(AND(livegame!$T$20,livegame!$U$20&lt;&gt;"",B1689="",B1688&lt;&gt;""),livegame!$U$20,"")))</f>
        <v/>
      </c>
      <c r="B1689" t="str">
        <f>IF(livegame!$V$21,"",IF(livegame!$T$20,B1689,A1689))</f>
        <v/>
      </c>
    </row>
    <row r="1690" spans="1:2">
      <c r="A1690" t="str">
        <f>IF(livegame!$V$21,"",IF(A1690&lt;&gt;"",A1690,IF(AND(livegame!$T$20,livegame!$U$20&lt;&gt;"",B1690="",B1689&lt;&gt;""),livegame!$U$20,"")))</f>
        <v/>
      </c>
      <c r="B1690" t="str">
        <f>IF(livegame!$V$21,"",IF(livegame!$T$20,B1690,A1690))</f>
        <v/>
      </c>
    </row>
    <row r="1691" spans="1:2">
      <c r="A1691" t="str">
        <f>IF(livegame!$V$21,"",IF(A1691&lt;&gt;"",A1691,IF(AND(livegame!$T$20,livegame!$U$20&lt;&gt;"",B1691="",B1690&lt;&gt;""),livegame!$U$20,"")))</f>
        <v/>
      </c>
      <c r="B1691" t="str">
        <f>IF(livegame!$V$21,"",IF(livegame!$T$20,B1691,A1691))</f>
        <v/>
      </c>
    </row>
    <row r="1692" spans="1:2">
      <c r="A1692" t="str">
        <f>IF(livegame!$V$21,"",IF(A1692&lt;&gt;"",A1692,IF(AND(livegame!$T$20,livegame!$U$20&lt;&gt;"",B1692="",B1691&lt;&gt;""),livegame!$U$20,"")))</f>
        <v/>
      </c>
      <c r="B1692" t="str">
        <f>IF(livegame!$V$21,"",IF(livegame!$T$20,B1692,A1692))</f>
        <v/>
      </c>
    </row>
    <row r="1693" spans="1:2">
      <c r="A1693" t="str">
        <f>IF(livegame!$V$21,"",IF(A1693&lt;&gt;"",A1693,IF(AND(livegame!$T$20,livegame!$U$20&lt;&gt;"",B1693="",B1692&lt;&gt;""),livegame!$U$20,"")))</f>
        <v/>
      </c>
      <c r="B1693" t="str">
        <f>IF(livegame!$V$21,"",IF(livegame!$T$20,B1693,A1693))</f>
        <v/>
      </c>
    </row>
    <row r="1694" spans="1:2">
      <c r="A1694" t="str">
        <f>IF(livegame!$V$21,"",IF(A1694&lt;&gt;"",A1694,IF(AND(livegame!$T$20,livegame!$U$20&lt;&gt;"",B1694="",B1693&lt;&gt;""),livegame!$U$20,"")))</f>
        <v/>
      </c>
      <c r="B1694" t="str">
        <f>IF(livegame!$V$21,"",IF(livegame!$T$20,B1694,A1694))</f>
        <v/>
      </c>
    </row>
    <row r="1695" spans="1:2">
      <c r="A1695" t="str">
        <f>IF(livegame!$V$21,"",IF(A1695&lt;&gt;"",A1695,IF(AND(livegame!$T$20,livegame!$U$20&lt;&gt;"",B1695="",B1694&lt;&gt;""),livegame!$U$20,"")))</f>
        <v/>
      </c>
      <c r="B1695" t="str">
        <f>IF(livegame!$V$21,"",IF(livegame!$T$20,B1695,A1695))</f>
        <v/>
      </c>
    </row>
    <row r="1696" spans="1:2">
      <c r="A1696" t="str">
        <f>IF(livegame!$V$21,"",IF(A1696&lt;&gt;"",A1696,IF(AND(livegame!$T$20,livegame!$U$20&lt;&gt;"",B1696="",B1695&lt;&gt;""),livegame!$U$20,"")))</f>
        <v/>
      </c>
      <c r="B1696" t="str">
        <f>IF(livegame!$V$21,"",IF(livegame!$T$20,B1696,A1696))</f>
        <v/>
      </c>
    </row>
    <row r="1697" spans="1:2">
      <c r="A1697" t="str">
        <f>IF(livegame!$V$21,"",IF(A1697&lt;&gt;"",A1697,IF(AND(livegame!$T$20,livegame!$U$20&lt;&gt;"",B1697="",B1696&lt;&gt;""),livegame!$U$20,"")))</f>
        <v/>
      </c>
      <c r="B1697" t="str">
        <f>IF(livegame!$V$21,"",IF(livegame!$T$20,B1697,A1697))</f>
        <v/>
      </c>
    </row>
    <row r="1698" spans="1:2">
      <c r="A1698" t="str">
        <f>IF(livegame!$V$21,"",IF(A1698&lt;&gt;"",A1698,IF(AND(livegame!$T$20,livegame!$U$20&lt;&gt;"",B1698="",B1697&lt;&gt;""),livegame!$U$20,"")))</f>
        <v/>
      </c>
      <c r="B1698" t="str">
        <f>IF(livegame!$V$21,"",IF(livegame!$T$20,B1698,A1698))</f>
        <v/>
      </c>
    </row>
    <row r="1699" spans="1:2">
      <c r="A1699" t="str">
        <f>IF(livegame!$V$21,"",IF(A1699&lt;&gt;"",A1699,IF(AND(livegame!$T$20,livegame!$U$20&lt;&gt;"",B1699="",B1698&lt;&gt;""),livegame!$U$20,"")))</f>
        <v/>
      </c>
      <c r="B1699" t="str">
        <f>IF(livegame!$V$21,"",IF(livegame!$T$20,B1699,A1699))</f>
        <v/>
      </c>
    </row>
    <row r="1700" spans="1:2">
      <c r="A1700" t="str">
        <f>IF(livegame!$V$21,"",IF(A1700&lt;&gt;"",A1700,IF(AND(livegame!$T$20,livegame!$U$20&lt;&gt;"",B1700="",B1699&lt;&gt;""),livegame!$U$20,"")))</f>
        <v/>
      </c>
      <c r="B1700" t="str">
        <f>IF(livegame!$V$21,"",IF(livegame!$T$20,B1700,A1700))</f>
        <v/>
      </c>
    </row>
    <row r="1701" spans="1:2">
      <c r="A1701" t="str">
        <f>IF(livegame!$V$21,"",IF(A1701&lt;&gt;"",A1701,IF(AND(livegame!$T$20,livegame!$U$20&lt;&gt;"",B1701="",B1700&lt;&gt;""),livegame!$U$20,"")))</f>
        <v/>
      </c>
      <c r="B1701" t="str">
        <f>IF(livegame!$V$21,"",IF(livegame!$T$20,B1701,A1701))</f>
        <v/>
      </c>
    </row>
    <row r="1702" spans="1:2">
      <c r="A1702" t="str">
        <f>IF(livegame!$V$21,"",IF(A1702&lt;&gt;"",A1702,IF(AND(livegame!$T$20,livegame!$U$20&lt;&gt;"",B1702="",B1701&lt;&gt;""),livegame!$U$20,"")))</f>
        <v/>
      </c>
      <c r="B1702" t="str">
        <f>IF(livegame!$V$21,"",IF(livegame!$T$20,B1702,A1702))</f>
        <v/>
      </c>
    </row>
    <row r="1703" spans="1:2">
      <c r="A1703" t="str">
        <f>IF(livegame!$V$21,"",IF(A1703&lt;&gt;"",A1703,IF(AND(livegame!$T$20,livegame!$U$20&lt;&gt;"",B1703="",B1702&lt;&gt;""),livegame!$U$20,"")))</f>
        <v/>
      </c>
      <c r="B1703" t="str">
        <f>IF(livegame!$V$21,"",IF(livegame!$T$20,B1703,A1703))</f>
        <v/>
      </c>
    </row>
    <row r="1704" spans="1:2">
      <c r="A1704" t="str">
        <f>IF(livegame!$V$21,"",IF(A1704&lt;&gt;"",A1704,IF(AND(livegame!$T$20,livegame!$U$20&lt;&gt;"",B1704="",B1703&lt;&gt;""),livegame!$U$20,"")))</f>
        <v/>
      </c>
      <c r="B1704" t="str">
        <f>IF(livegame!$V$21,"",IF(livegame!$T$20,B1704,A1704))</f>
        <v/>
      </c>
    </row>
    <row r="1705" spans="1:2">
      <c r="A1705" t="str">
        <f>IF(livegame!$V$21,"",IF(A1705&lt;&gt;"",A1705,IF(AND(livegame!$T$20,livegame!$U$20&lt;&gt;"",B1705="",B1704&lt;&gt;""),livegame!$U$20,"")))</f>
        <v/>
      </c>
      <c r="B1705" t="str">
        <f>IF(livegame!$V$21,"",IF(livegame!$T$20,B1705,A1705))</f>
        <v/>
      </c>
    </row>
    <row r="1706" spans="1:2">
      <c r="A1706" t="str">
        <f>IF(livegame!$V$21,"",IF(A1706&lt;&gt;"",A1706,IF(AND(livegame!$T$20,livegame!$U$20&lt;&gt;"",B1706="",B1705&lt;&gt;""),livegame!$U$20,"")))</f>
        <v/>
      </c>
      <c r="B1706" t="str">
        <f>IF(livegame!$V$21,"",IF(livegame!$T$20,B1706,A1706))</f>
        <v/>
      </c>
    </row>
    <row r="1707" spans="1:2">
      <c r="A1707" t="str">
        <f>IF(livegame!$V$21,"",IF(A1707&lt;&gt;"",A1707,IF(AND(livegame!$T$20,livegame!$U$20&lt;&gt;"",B1707="",B1706&lt;&gt;""),livegame!$U$20,"")))</f>
        <v/>
      </c>
      <c r="B1707" t="str">
        <f>IF(livegame!$V$21,"",IF(livegame!$T$20,B1707,A1707))</f>
        <v/>
      </c>
    </row>
    <row r="1708" spans="1:2">
      <c r="A1708" t="str">
        <f>IF(livegame!$V$21,"",IF(A1708&lt;&gt;"",A1708,IF(AND(livegame!$T$20,livegame!$U$20&lt;&gt;"",B1708="",B1707&lt;&gt;""),livegame!$U$20,"")))</f>
        <v/>
      </c>
      <c r="B1708" t="str">
        <f>IF(livegame!$V$21,"",IF(livegame!$T$20,B1708,A1708))</f>
        <v/>
      </c>
    </row>
    <row r="1709" spans="1:2">
      <c r="A1709" t="str">
        <f>IF(livegame!$V$21,"",IF(A1709&lt;&gt;"",A1709,IF(AND(livegame!$T$20,livegame!$U$20&lt;&gt;"",B1709="",B1708&lt;&gt;""),livegame!$U$20,"")))</f>
        <v/>
      </c>
      <c r="B1709" t="str">
        <f>IF(livegame!$V$21,"",IF(livegame!$T$20,B1709,A1709))</f>
        <v/>
      </c>
    </row>
    <row r="1710" spans="1:2">
      <c r="A1710" t="str">
        <f>IF(livegame!$V$21,"",IF(A1710&lt;&gt;"",A1710,IF(AND(livegame!$T$20,livegame!$U$20&lt;&gt;"",B1710="",B1709&lt;&gt;""),livegame!$U$20,"")))</f>
        <v/>
      </c>
      <c r="B1710" t="str">
        <f>IF(livegame!$V$21,"",IF(livegame!$T$20,B1710,A1710))</f>
        <v/>
      </c>
    </row>
    <row r="1711" spans="1:2">
      <c r="A1711" t="str">
        <f>IF(livegame!$V$21,"",IF(A1711&lt;&gt;"",A1711,IF(AND(livegame!$T$20,livegame!$U$20&lt;&gt;"",B1711="",B1710&lt;&gt;""),livegame!$U$20,"")))</f>
        <v/>
      </c>
      <c r="B1711" t="str">
        <f>IF(livegame!$V$21,"",IF(livegame!$T$20,B1711,A1711))</f>
        <v/>
      </c>
    </row>
    <row r="1712" spans="1:2">
      <c r="A1712" t="str">
        <f>IF(livegame!$V$21,"",IF(A1712&lt;&gt;"",A1712,IF(AND(livegame!$T$20,livegame!$U$20&lt;&gt;"",B1712="",B1711&lt;&gt;""),livegame!$U$20,"")))</f>
        <v/>
      </c>
      <c r="B1712" t="str">
        <f>IF(livegame!$V$21,"",IF(livegame!$T$20,B1712,A1712))</f>
        <v/>
      </c>
    </row>
    <row r="1713" spans="1:2">
      <c r="A1713" t="str">
        <f>IF(livegame!$V$21,"",IF(A1713&lt;&gt;"",A1713,IF(AND(livegame!$T$20,livegame!$U$20&lt;&gt;"",B1713="",B1712&lt;&gt;""),livegame!$U$20,"")))</f>
        <v/>
      </c>
      <c r="B1713" t="str">
        <f>IF(livegame!$V$21,"",IF(livegame!$T$20,B1713,A1713))</f>
        <v/>
      </c>
    </row>
    <row r="1714" spans="1:2">
      <c r="A1714" t="str">
        <f>IF(livegame!$V$21,"",IF(A1714&lt;&gt;"",A1714,IF(AND(livegame!$T$20,livegame!$U$20&lt;&gt;"",B1714="",B1713&lt;&gt;""),livegame!$U$20,"")))</f>
        <v/>
      </c>
      <c r="B1714" t="str">
        <f>IF(livegame!$V$21,"",IF(livegame!$T$20,B1714,A1714))</f>
        <v/>
      </c>
    </row>
    <row r="1715" spans="1:2">
      <c r="A1715" t="str">
        <f>IF(livegame!$V$21,"",IF(A1715&lt;&gt;"",A1715,IF(AND(livegame!$T$20,livegame!$U$20&lt;&gt;"",B1715="",B1714&lt;&gt;""),livegame!$U$20,"")))</f>
        <v/>
      </c>
      <c r="B1715" t="str">
        <f>IF(livegame!$V$21,"",IF(livegame!$T$20,B1715,A1715))</f>
        <v/>
      </c>
    </row>
    <row r="1716" spans="1:2">
      <c r="A1716" t="str">
        <f>IF(livegame!$V$21,"",IF(A1716&lt;&gt;"",A1716,IF(AND(livegame!$T$20,livegame!$U$20&lt;&gt;"",B1716="",B1715&lt;&gt;""),livegame!$U$20,"")))</f>
        <v/>
      </c>
      <c r="B1716" t="str">
        <f>IF(livegame!$V$21,"",IF(livegame!$T$20,B1716,A1716))</f>
        <v/>
      </c>
    </row>
    <row r="1717" spans="1:2">
      <c r="A1717" t="str">
        <f>IF(livegame!$V$21,"",IF(A1717&lt;&gt;"",A1717,IF(AND(livegame!$T$20,livegame!$U$20&lt;&gt;"",B1717="",B1716&lt;&gt;""),livegame!$U$20,"")))</f>
        <v/>
      </c>
      <c r="B1717" t="str">
        <f>IF(livegame!$V$21,"",IF(livegame!$T$20,B1717,A1717))</f>
        <v/>
      </c>
    </row>
    <row r="1718" spans="1:2">
      <c r="A1718" t="str">
        <f>IF(livegame!$V$21,"",IF(A1718&lt;&gt;"",A1718,IF(AND(livegame!$T$20,livegame!$U$20&lt;&gt;"",B1718="",B1717&lt;&gt;""),livegame!$U$20,"")))</f>
        <v/>
      </c>
      <c r="B1718" t="str">
        <f>IF(livegame!$V$21,"",IF(livegame!$T$20,B1718,A1718))</f>
        <v/>
      </c>
    </row>
    <row r="1719" spans="1:2">
      <c r="A1719" t="str">
        <f>IF(livegame!$V$21,"",IF(A1719&lt;&gt;"",A1719,IF(AND(livegame!$T$20,livegame!$U$20&lt;&gt;"",B1719="",B1718&lt;&gt;""),livegame!$U$20,"")))</f>
        <v/>
      </c>
      <c r="B1719" t="str">
        <f>IF(livegame!$V$21,"",IF(livegame!$T$20,B1719,A1719))</f>
        <v/>
      </c>
    </row>
    <row r="1720" spans="1:2">
      <c r="A1720" t="str">
        <f>IF(livegame!$V$21,"",IF(A1720&lt;&gt;"",A1720,IF(AND(livegame!$T$20,livegame!$U$20&lt;&gt;"",B1720="",B1719&lt;&gt;""),livegame!$U$20,"")))</f>
        <v/>
      </c>
      <c r="B1720" t="str">
        <f>IF(livegame!$V$21,"",IF(livegame!$T$20,B1720,A1720))</f>
        <v/>
      </c>
    </row>
    <row r="1721" spans="1:2">
      <c r="A1721" t="str">
        <f>IF(livegame!$V$21,"",IF(A1721&lt;&gt;"",A1721,IF(AND(livegame!$T$20,livegame!$U$20&lt;&gt;"",B1721="",B1720&lt;&gt;""),livegame!$U$20,"")))</f>
        <v/>
      </c>
      <c r="B1721" t="str">
        <f>IF(livegame!$V$21,"",IF(livegame!$T$20,B1721,A1721))</f>
        <v/>
      </c>
    </row>
    <row r="1722" spans="1:2">
      <c r="A1722" t="str">
        <f>IF(livegame!$V$21,"",IF(A1722&lt;&gt;"",A1722,IF(AND(livegame!$T$20,livegame!$U$20&lt;&gt;"",B1722="",B1721&lt;&gt;""),livegame!$U$20,"")))</f>
        <v/>
      </c>
      <c r="B1722" t="str">
        <f>IF(livegame!$V$21,"",IF(livegame!$T$20,B1722,A1722))</f>
        <v/>
      </c>
    </row>
    <row r="1723" spans="1:2">
      <c r="A1723" t="str">
        <f>IF(livegame!$V$21,"",IF(A1723&lt;&gt;"",A1723,IF(AND(livegame!$T$20,livegame!$U$20&lt;&gt;"",B1723="",B1722&lt;&gt;""),livegame!$U$20,"")))</f>
        <v/>
      </c>
      <c r="B1723" t="str">
        <f>IF(livegame!$V$21,"",IF(livegame!$T$20,B1723,A1723))</f>
        <v/>
      </c>
    </row>
    <row r="1724" spans="1:2">
      <c r="A1724" t="str">
        <f>IF(livegame!$V$21,"",IF(A1724&lt;&gt;"",A1724,IF(AND(livegame!$T$20,livegame!$U$20&lt;&gt;"",B1724="",B1723&lt;&gt;""),livegame!$U$20,"")))</f>
        <v/>
      </c>
      <c r="B1724" t="str">
        <f>IF(livegame!$V$21,"",IF(livegame!$T$20,B1724,A1724))</f>
        <v/>
      </c>
    </row>
    <row r="1725" spans="1:2">
      <c r="A1725" t="str">
        <f>IF(livegame!$V$21,"",IF(A1725&lt;&gt;"",A1725,IF(AND(livegame!$T$20,livegame!$U$20&lt;&gt;"",B1725="",B1724&lt;&gt;""),livegame!$U$20,"")))</f>
        <v/>
      </c>
      <c r="B1725" t="str">
        <f>IF(livegame!$V$21,"",IF(livegame!$T$20,B1725,A1725))</f>
        <v/>
      </c>
    </row>
    <row r="1726" spans="1:2">
      <c r="A1726" t="str">
        <f>IF(livegame!$V$21,"",IF(A1726&lt;&gt;"",A1726,IF(AND(livegame!$T$20,livegame!$U$20&lt;&gt;"",B1726="",B1725&lt;&gt;""),livegame!$U$20,"")))</f>
        <v/>
      </c>
      <c r="B1726" t="str">
        <f>IF(livegame!$V$21,"",IF(livegame!$T$20,B1726,A1726))</f>
        <v/>
      </c>
    </row>
    <row r="1727" spans="1:2">
      <c r="A1727" t="str">
        <f>IF(livegame!$V$21,"",IF(A1727&lt;&gt;"",A1727,IF(AND(livegame!$T$20,livegame!$U$20&lt;&gt;"",B1727="",B1726&lt;&gt;""),livegame!$U$20,"")))</f>
        <v/>
      </c>
      <c r="B1727" t="str">
        <f>IF(livegame!$V$21,"",IF(livegame!$T$20,B1727,A1727))</f>
        <v/>
      </c>
    </row>
    <row r="1728" spans="1:2">
      <c r="A1728" t="str">
        <f>IF(livegame!$V$21,"",IF(A1728&lt;&gt;"",A1728,IF(AND(livegame!$T$20,livegame!$U$20&lt;&gt;"",B1728="",B1727&lt;&gt;""),livegame!$U$20,"")))</f>
        <v/>
      </c>
      <c r="B1728" t="str">
        <f>IF(livegame!$V$21,"",IF(livegame!$T$20,B1728,A1728))</f>
        <v/>
      </c>
    </row>
    <row r="1729" spans="1:2">
      <c r="A1729" t="str">
        <f>IF(livegame!$V$21,"",IF(A1729&lt;&gt;"",A1729,IF(AND(livegame!$T$20,livegame!$U$20&lt;&gt;"",B1729="",B1728&lt;&gt;""),livegame!$U$20,"")))</f>
        <v/>
      </c>
      <c r="B1729" t="str">
        <f>IF(livegame!$V$21,"",IF(livegame!$T$20,B1729,A1729))</f>
        <v/>
      </c>
    </row>
    <row r="1730" spans="1:2">
      <c r="A1730" t="str">
        <f>IF(livegame!$V$21,"",IF(A1730&lt;&gt;"",A1730,IF(AND(livegame!$T$20,livegame!$U$20&lt;&gt;"",B1730="",B1729&lt;&gt;""),livegame!$U$20,"")))</f>
        <v/>
      </c>
      <c r="B1730" t="str">
        <f>IF(livegame!$V$21,"",IF(livegame!$T$20,B1730,A1730))</f>
        <v/>
      </c>
    </row>
    <row r="1731" spans="1:2">
      <c r="A1731" t="str">
        <f>IF(livegame!$V$21,"",IF(A1731&lt;&gt;"",A1731,IF(AND(livegame!$T$20,livegame!$U$20&lt;&gt;"",B1731="",B1730&lt;&gt;""),livegame!$U$20,"")))</f>
        <v/>
      </c>
      <c r="B1731" t="str">
        <f>IF(livegame!$V$21,"",IF(livegame!$T$20,B1731,A1731))</f>
        <v/>
      </c>
    </row>
    <row r="1732" spans="1:2">
      <c r="A1732" t="str">
        <f>IF(livegame!$V$21,"",IF(A1732&lt;&gt;"",A1732,IF(AND(livegame!$T$20,livegame!$U$20&lt;&gt;"",B1732="",B1731&lt;&gt;""),livegame!$U$20,"")))</f>
        <v/>
      </c>
      <c r="B1732" t="str">
        <f>IF(livegame!$V$21,"",IF(livegame!$T$20,B1732,A1732))</f>
        <v/>
      </c>
    </row>
    <row r="1733" spans="1:2">
      <c r="A1733" t="str">
        <f>IF(livegame!$V$21,"",IF(A1733&lt;&gt;"",A1733,IF(AND(livegame!$T$20,livegame!$U$20&lt;&gt;"",B1733="",B1732&lt;&gt;""),livegame!$U$20,"")))</f>
        <v/>
      </c>
      <c r="B1733" t="str">
        <f>IF(livegame!$V$21,"",IF(livegame!$T$20,B1733,A1733))</f>
        <v/>
      </c>
    </row>
    <row r="1734" spans="1:2">
      <c r="A1734" t="str">
        <f>IF(livegame!$V$21,"",IF(A1734&lt;&gt;"",A1734,IF(AND(livegame!$T$20,livegame!$U$20&lt;&gt;"",B1734="",B1733&lt;&gt;""),livegame!$U$20,"")))</f>
        <v/>
      </c>
      <c r="B1734" t="str">
        <f>IF(livegame!$V$21,"",IF(livegame!$T$20,B1734,A1734))</f>
        <v/>
      </c>
    </row>
    <row r="1735" spans="1:2">
      <c r="A1735" t="str">
        <f>IF(livegame!$V$21,"",IF(A1735&lt;&gt;"",A1735,IF(AND(livegame!$T$20,livegame!$U$20&lt;&gt;"",B1735="",B1734&lt;&gt;""),livegame!$U$20,"")))</f>
        <v/>
      </c>
      <c r="B1735" t="str">
        <f>IF(livegame!$V$21,"",IF(livegame!$T$20,B1735,A1735))</f>
        <v/>
      </c>
    </row>
    <row r="1736" spans="1:2">
      <c r="A1736" t="str">
        <f>IF(livegame!$V$21,"",IF(A1736&lt;&gt;"",A1736,IF(AND(livegame!$T$20,livegame!$U$20&lt;&gt;"",B1736="",B1735&lt;&gt;""),livegame!$U$20,"")))</f>
        <v/>
      </c>
      <c r="B1736" t="str">
        <f>IF(livegame!$V$21,"",IF(livegame!$T$20,B1736,A1736))</f>
        <v/>
      </c>
    </row>
    <row r="1737" spans="1:2">
      <c r="A1737" t="str">
        <f>IF(livegame!$V$21,"",IF(A1737&lt;&gt;"",A1737,IF(AND(livegame!$T$20,livegame!$U$20&lt;&gt;"",B1737="",B1736&lt;&gt;""),livegame!$U$20,"")))</f>
        <v/>
      </c>
      <c r="B1737" t="str">
        <f>IF(livegame!$V$21,"",IF(livegame!$T$20,B1737,A1737))</f>
        <v/>
      </c>
    </row>
    <row r="1738" spans="1:2">
      <c r="A1738" t="str">
        <f>IF(livegame!$V$21,"",IF(A1738&lt;&gt;"",A1738,IF(AND(livegame!$T$20,livegame!$U$20&lt;&gt;"",B1738="",B1737&lt;&gt;""),livegame!$U$20,"")))</f>
        <v/>
      </c>
      <c r="B1738" t="str">
        <f>IF(livegame!$V$21,"",IF(livegame!$T$20,B1738,A1738))</f>
        <v/>
      </c>
    </row>
    <row r="1739" spans="1:2">
      <c r="A1739" t="str">
        <f>IF(livegame!$V$21,"",IF(A1739&lt;&gt;"",A1739,IF(AND(livegame!$T$20,livegame!$U$20&lt;&gt;"",B1739="",B1738&lt;&gt;""),livegame!$U$20,"")))</f>
        <v/>
      </c>
      <c r="B1739" t="str">
        <f>IF(livegame!$V$21,"",IF(livegame!$T$20,B1739,A1739))</f>
        <v/>
      </c>
    </row>
    <row r="1740" spans="1:2">
      <c r="A1740" t="str">
        <f>IF(livegame!$V$21,"",IF(A1740&lt;&gt;"",A1740,IF(AND(livegame!$T$20,livegame!$U$20&lt;&gt;"",B1740="",B1739&lt;&gt;""),livegame!$U$20,"")))</f>
        <v/>
      </c>
      <c r="B1740" t="str">
        <f>IF(livegame!$V$21,"",IF(livegame!$T$20,B1740,A1740))</f>
        <v/>
      </c>
    </row>
    <row r="1741" spans="1:2">
      <c r="A1741" t="str">
        <f>IF(livegame!$V$21,"",IF(A1741&lt;&gt;"",A1741,IF(AND(livegame!$T$20,livegame!$U$20&lt;&gt;"",B1741="",B1740&lt;&gt;""),livegame!$U$20,"")))</f>
        <v/>
      </c>
      <c r="B1741" t="str">
        <f>IF(livegame!$V$21,"",IF(livegame!$T$20,B1741,A1741))</f>
        <v/>
      </c>
    </row>
    <row r="1742" spans="1:2">
      <c r="A1742" t="str">
        <f>IF(livegame!$V$21,"",IF(A1742&lt;&gt;"",A1742,IF(AND(livegame!$T$20,livegame!$U$20&lt;&gt;"",B1742="",B1741&lt;&gt;""),livegame!$U$20,"")))</f>
        <v/>
      </c>
      <c r="B1742" t="str">
        <f>IF(livegame!$V$21,"",IF(livegame!$T$20,B1742,A1742))</f>
        <v/>
      </c>
    </row>
    <row r="1743" spans="1:2">
      <c r="A1743" t="str">
        <f>IF(livegame!$V$21,"",IF(A1743&lt;&gt;"",A1743,IF(AND(livegame!$T$20,livegame!$U$20&lt;&gt;"",B1743="",B1742&lt;&gt;""),livegame!$U$20,"")))</f>
        <v/>
      </c>
      <c r="B1743" t="str">
        <f>IF(livegame!$V$21,"",IF(livegame!$T$20,B1743,A1743))</f>
        <v/>
      </c>
    </row>
    <row r="1744" spans="1:2">
      <c r="A1744" t="str">
        <f>IF(livegame!$V$21,"",IF(A1744&lt;&gt;"",A1744,IF(AND(livegame!$T$20,livegame!$U$20&lt;&gt;"",B1744="",B1743&lt;&gt;""),livegame!$U$20,"")))</f>
        <v/>
      </c>
      <c r="B1744" t="str">
        <f>IF(livegame!$V$21,"",IF(livegame!$T$20,B1744,A1744))</f>
        <v/>
      </c>
    </row>
    <row r="1745" spans="1:2">
      <c r="A1745" t="str">
        <f>IF(livegame!$V$21,"",IF(A1745&lt;&gt;"",A1745,IF(AND(livegame!$T$20,livegame!$U$20&lt;&gt;"",B1745="",B1744&lt;&gt;""),livegame!$U$20,"")))</f>
        <v/>
      </c>
      <c r="B1745" t="str">
        <f>IF(livegame!$V$21,"",IF(livegame!$T$20,B1745,A1745))</f>
        <v/>
      </c>
    </row>
    <row r="1746" spans="1:2">
      <c r="A1746" t="str">
        <f>IF(livegame!$V$21,"",IF(A1746&lt;&gt;"",A1746,IF(AND(livegame!$T$20,livegame!$U$20&lt;&gt;"",B1746="",B1745&lt;&gt;""),livegame!$U$20,"")))</f>
        <v/>
      </c>
      <c r="B1746" t="str">
        <f>IF(livegame!$V$21,"",IF(livegame!$T$20,B1746,A1746))</f>
        <v/>
      </c>
    </row>
    <row r="1747" spans="1:2">
      <c r="A1747" t="str">
        <f>IF(livegame!$V$21,"",IF(A1747&lt;&gt;"",A1747,IF(AND(livegame!$T$20,livegame!$U$20&lt;&gt;"",B1747="",B1746&lt;&gt;""),livegame!$U$20,"")))</f>
        <v/>
      </c>
      <c r="B1747" t="str">
        <f>IF(livegame!$V$21,"",IF(livegame!$T$20,B1747,A1747))</f>
        <v/>
      </c>
    </row>
    <row r="1748" spans="1:2">
      <c r="A1748" t="str">
        <f>IF(livegame!$V$21,"",IF(A1748&lt;&gt;"",A1748,IF(AND(livegame!$T$20,livegame!$U$20&lt;&gt;"",B1748="",B1747&lt;&gt;""),livegame!$U$20,"")))</f>
        <v/>
      </c>
      <c r="B1748" t="str">
        <f>IF(livegame!$V$21,"",IF(livegame!$T$20,B1748,A1748))</f>
        <v/>
      </c>
    </row>
    <row r="1749" spans="1:2">
      <c r="A1749" t="str">
        <f>IF(livegame!$V$21,"",IF(A1749&lt;&gt;"",A1749,IF(AND(livegame!$T$20,livegame!$U$20&lt;&gt;"",B1749="",B1748&lt;&gt;""),livegame!$U$20,"")))</f>
        <v/>
      </c>
      <c r="B1749" t="str">
        <f>IF(livegame!$V$21,"",IF(livegame!$T$20,B1749,A1749))</f>
        <v/>
      </c>
    </row>
    <row r="1750" spans="1:2">
      <c r="A1750" t="str">
        <f>IF(livegame!$V$21,"",IF(A1750&lt;&gt;"",A1750,IF(AND(livegame!$T$20,livegame!$U$20&lt;&gt;"",B1750="",B1749&lt;&gt;""),livegame!$U$20,"")))</f>
        <v/>
      </c>
      <c r="B1750" t="str">
        <f>IF(livegame!$V$21,"",IF(livegame!$T$20,B1750,A1750))</f>
        <v/>
      </c>
    </row>
    <row r="1751" spans="1:2">
      <c r="A1751" t="str">
        <f>IF(livegame!$V$21,"",IF(A1751&lt;&gt;"",A1751,IF(AND(livegame!$T$20,livegame!$U$20&lt;&gt;"",B1751="",B1750&lt;&gt;""),livegame!$U$20,"")))</f>
        <v/>
      </c>
      <c r="B1751" t="str">
        <f>IF(livegame!$V$21,"",IF(livegame!$T$20,B1751,A1751))</f>
        <v/>
      </c>
    </row>
    <row r="1752" spans="1:2">
      <c r="A1752" t="str">
        <f>IF(livegame!$V$21,"",IF(A1752&lt;&gt;"",A1752,IF(AND(livegame!$T$20,livegame!$U$20&lt;&gt;"",B1752="",B1751&lt;&gt;""),livegame!$U$20,"")))</f>
        <v/>
      </c>
      <c r="B1752" t="str">
        <f>IF(livegame!$V$21,"",IF(livegame!$T$20,B1752,A1752))</f>
        <v/>
      </c>
    </row>
    <row r="1753" spans="1:2">
      <c r="A1753" t="str">
        <f>IF(livegame!$V$21,"",IF(A1753&lt;&gt;"",A1753,IF(AND(livegame!$T$20,livegame!$U$20&lt;&gt;"",B1753="",B1752&lt;&gt;""),livegame!$U$20,"")))</f>
        <v/>
      </c>
      <c r="B1753" t="str">
        <f>IF(livegame!$V$21,"",IF(livegame!$T$20,B1753,A1753))</f>
        <v/>
      </c>
    </row>
    <row r="1754" spans="1:2">
      <c r="A1754" t="str">
        <f>IF(livegame!$V$21,"",IF(A1754&lt;&gt;"",A1754,IF(AND(livegame!$T$20,livegame!$U$20&lt;&gt;"",B1754="",B1753&lt;&gt;""),livegame!$U$20,"")))</f>
        <v/>
      </c>
      <c r="B1754" t="str">
        <f>IF(livegame!$V$21,"",IF(livegame!$T$20,B1754,A1754))</f>
        <v/>
      </c>
    </row>
    <row r="1755" spans="1:2">
      <c r="A1755" t="str">
        <f>IF(livegame!$V$21,"",IF(A1755&lt;&gt;"",A1755,IF(AND(livegame!$T$20,livegame!$U$20&lt;&gt;"",B1755="",B1754&lt;&gt;""),livegame!$U$20,"")))</f>
        <v/>
      </c>
      <c r="B1755" t="str">
        <f>IF(livegame!$V$21,"",IF(livegame!$T$20,B1755,A1755))</f>
        <v/>
      </c>
    </row>
    <row r="1756" spans="1:2">
      <c r="A1756" t="str">
        <f>IF(livegame!$V$21,"",IF(A1756&lt;&gt;"",A1756,IF(AND(livegame!$T$20,livegame!$U$20&lt;&gt;"",B1756="",B1755&lt;&gt;""),livegame!$U$20,"")))</f>
        <v/>
      </c>
      <c r="B1756" t="str">
        <f>IF(livegame!$V$21,"",IF(livegame!$T$20,B1756,A1756))</f>
        <v/>
      </c>
    </row>
    <row r="1757" spans="1:2">
      <c r="A1757" t="str">
        <f>IF(livegame!$V$21,"",IF(A1757&lt;&gt;"",A1757,IF(AND(livegame!$T$20,livegame!$U$20&lt;&gt;"",B1757="",B1756&lt;&gt;""),livegame!$U$20,"")))</f>
        <v/>
      </c>
      <c r="B1757" t="str">
        <f>IF(livegame!$V$21,"",IF(livegame!$T$20,B1757,A1757))</f>
        <v/>
      </c>
    </row>
    <row r="1758" spans="1:2">
      <c r="A1758" t="str">
        <f>IF(livegame!$V$21,"",IF(A1758&lt;&gt;"",A1758,IF(AND(livegame!$T$20,livegame!$U$20&lt;&gt;"",B1758="",B1757&lt;&gt;""),livegame!$U$20,"")))</f>
        <v/>
      </c>
      <c r="B1758" t="str">
        <f>IF(livegame!$V$21,"",IF(livegame!$T$20,B1758,A1758))</f>
        <v/>
      </c>
    </row>
    <row r="1759" spans="1:2">
      <c r="A1759" t="str">
        <f>IF(livegame!$V$21,"",IF(A1759&lt;&gt;"",A1759,IF(AND(livegame!$T$20,livegame!$U$20&lt;&gt;"",B1759="",B1758&lt;&gt;""),livegame!$U$20,"")))</f>
        <v/>
      </c>
      <c r="B1759" t="str">
        <f>IF(livegame!$V$21,"",IF(livegame!$T$20,B1759,A1759))</f>
        <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47F42-AEC6-DF40-9612-A9F82DBA9346}">
  <dimension ref="A1:J17"/>
  <sheetViews>
    <sheetView topLeftCell="J1" zoomScale="361" workbookViewId="0">
      <selection activeCell="I6" sqref="I6"/>
    </sheetView>
  </sheetViews>
  <sheetFormatPr baseColWidth="10" defaultRowHeight="16"/>
  <cols>
    <col min="1" max="8" width="2.83203125" customWidth="1"/>
  </cols>
  <sheetData>
    <row r="1" spans="1:10">
      <c r="A1" s="1" t="s">
        <v>2</v>
      </c>
      <c r="B1" s="1" t="s">
        <v>3</v>
      </c>
      <c r="C1" s="1" t="s">
        <v>4</v>
      </c>
      <c r="D1" s="1" t="s">
        <v>5</v>
      </c>
      <c r="E1" s="1" t="s">
        <v>6</v>
      </c>
      <c r="F1" s="1" t="s">
        <v>4</v>
      </c>
      <c r="G1" s="1" t="s">
        <v>3</v>
      </c>
      <c r="H1" s="1" t="s">
        <v>2</v>
      </c>
      <c r="I1">
        <v>1</v>
      </c>
      <c r="J1" s="4" t="s">
        <v>1</v>
      </c>
    </row>
    <row r="2" spans="1:10">
      <c r="A2" s="1" t="s">
        <v>7</v>
      </c>
      <c r="B2" s="1" t="s">
        <v>7</v>
      </c>
      <c r="C2" s="1" t="s">
        <v>7</v>
      </c>
      <c r="D2" s="1" t="s">
        <v>7</v>
      </c>
      <c r="E2" s="1" t="s">
        <v>7</v>
      </c>
      <c r="F2" s="1" t="s">
        <v>7</v>
      </c>
      <c r="G2" s="1" t="s">
        <v>7</v>
      </c>
      <c r="H2" s="1" t="s">
        <v>7</v>
      </c>
    </row>
    <row r="3" spans="1:10">
      <c r="A3" s="1"/>
      <c r="B3" s="1"/>
      <c r="C3" s="1"/>
      <c r="D3" s="1"/>
      <c r="E3" s="1"/>
      <c r="F3" s="1"/>
      <c r="G3" s="1"/>
      <c r="H3" s="1"/>
    </row>
    <row r="4" spans="1:10">
      <c r="A4" s="1"/>
      <c r="B4" s="1"/>
      <c r="C4" s="1"/>
      <c r="D4" s="1"/>
      <c r="E4" s="1"/>
      <c r="F4" s="1"/>
      <c r="G4" s="1"/>
      <c r="H4" s="1"/>
    </row>
    <row r="5" spans="1:10">
      <c r="A5" s="1"/>
      <c r="B5" s="1"/>
      <c r="C5" s="1"/>
      <c r="D5" s="1"/>
      <c r="E5" s="1"/>
      <c r="F5" s="1"/>
      <c r="G5" s="1"/>
      <c r="H5" s="1"/>
    </row>
    <row r="6" spans="1:10">
      <c r="A6" s="1"/>
      <c r="B6" s="1"/>
      <c r="C6" s="1"/>
      <c r="D6" s="1"/>
      <c r="E6" s="1"/>
      <c r="F6" s="1"/>
      <c r="G6" s="1"/>
      <c r="H6" s="1"/>
    </row>
    <row r="7" spans="1:10">
      <c r="A7" s="1" t="s">
        <v>10</v>
      </c>
      <c r="B7" s="1" t="s">
        <v>10</v>
      </c>
      <c r="C7" s="1" t="s">
        <v>10</v>
      </c>
      <c r="D7" s="1" t="s">
        <v>10</v>
      </c>
      <c r="E7" s="1" t="s">
        <v>10</v>
      </c>
      <c r="F7" s="1" t="s">
        <v>10</v>
      </c>
      <c r="G7" s="1" t="s">
        <v>10</v>
      </c>
      <c r="H7" s="1" t="s">
        <v>10</v>
      </c>
    </row>
    <row r="8" spans="1:10">
      <c r="A8" s="1" t="s">
        <v>8</v>
      </c>
      <c r="B8" s="1" t="s">
        <v>9</v>
      </c>
      <c r="C8" s="1" t="s">
        <v>11</v>
      </c>
      <c r="D8" s="1" t="s">
        <v>32</v>
      </c>
      <c r="E8" s="1" t="s">
        <v>31</v>
      </c>
      <c r="F8" s="1" t="s">
        <v>11</v>
      </c>
      <c r="G8" s="1" t="s">
        <v>9</v>
      </c>
      <c r="H8" s="1" t="s">
        <v>8</v>
      </c>
    </row>
    <row r="9" spans="1:10" ht="20" customHeight="1"/>
    <row r="10" spans="1:10" ht="20" customHeight="1"/>
    <row r="11" spans="1:10" ht="20" customHeight="1"/>
    <row r="12" spans="1:10" ht="20" customHeight="1"/>
    <row r="13" spans="1:10" ht="20" customHeight="1"/>
    <row r="14" spans="1:10" ht="20" customHeight="1"/>
    <row r="15" spans="1:10" ht="20" customHeight="1"/>
    <row r="16" spans="1:10" ht="20" customHeight="1"/>
    <row r="17" ht="20" customHeight="1"/>
  </sheetData>
  <phoneticPr fontId="5" type="noConversion"/>
  <conditionalFormatting sqref="J1 A1:H8">
    <cfRule type="containsText" dxfId="0" priority="1" stopIfTrue="1" operator="containsText" text="TRUE">
      <formula>NOT(ISERROR(SEARCH("TRUE",A1)))</formula>
    </cfRule>
  </conditionalFormatting>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1E974-32A4-634B-991B-467DA42CD1C1}">
  <dimension ref="I17"/>
  <sheetViews>
    <sheetView workbookViewId="0">
      <selection activeCell="H18" sqref="H18"/>
    </sheetView>
  </sheetViews>
  <sheetFormatPr baseColWidth="10" defaultRowHeight="16"/>
  <sheetData>
    <row r="17" spans="9:9">
      <c r="I17" t="s">
        <v>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6B6B6B"/>
  </sheetPr>
  <dimension ref="A1:N26"/>
  <sheetViews>
    <sheetView showGridLines="0" workbookViewId="0"/>
  </sheetViews>
  <sheetFormatPr baseColWidth="10" defaultRowHeight="16"/>
  <cols>
    <col min="1" max="1" width="30" customWidth="1"/>
    <col min="2" max="6" width="6" customWidth="1"/>
    <col min="7" max="7" width="10" customWidth="1"/>
    <col min="8" max="9" width="6" customWidth="1"/>
    <col min="10" max="10" width="3" customWidth="1"/>
    <col min="11" max="11" width="24" customWidth="1"/>
    <col min="12" max="12" width="40" customWidth="1"/>
  </cols>
  <sheetData>
    <row r="1" ht="30" customHeight="1">
      <c r="A1" s="35" t="inlineStr">
        <is>
          <t xml:space="preserve">CHESS ENGINE  /  working sheet</t>
        </is>
      </c>
      <c r="K1" s="49" t="inlineStr">
        <is>
          <t xml:space="preserve">Side to move</t>
        </is>
      </c>
      <c r="L1" s="38">
        <f ca="1">livegame!R16</f>
      </c>
      <c r="M1" s="49" t="inlineStr">
        <is>
          <t xml:space="preserve">Engine plays</t>
        </is>
      </c>
      <c r="N1" s="38">
        <f ca="1">IFERROR(UPPER(Coach!$C$20),"OFF")</f>
      </c>
    </row>
    <row r="2">
      <c r="A2" s="40" t="inlineStr">
        <is>
          <t xml:space="preserve">Nothing here needs touching. Read the Coach tab instead.</t>
        </is>
      </c>
      <c r="K2" s="49" t="inlineStr">
        <is>
          <t xml:space="preserve">Colour</t>
        </is>
      </c>
      <c r="L2" s="38">
        <f ca="1">IF(L1=1,"White","Black")</f>
      </c>
      <c r="M2" s="49" t="inlineStr">
        <is>
          <t xml:space="preserve">bot side (1=W 2=B)</t>
        </is>
      </c>
      <c r="N2" s="38">
        <f ca="1">IF($N$1="BLACK",2,IF($N$1="WHITE",1,0))</f>
      </c>
    </row>
    <row r="3">
      <c r="K3" s="49" t="inlineStr">
        <is>
          <t xml:space="preserve">Engine on</t>
        </is>
      </c>
      <c r="L3" s="38">
        <f ca="1">OR(UPPER(Coach!$C$18)="ON",Coach!$C$18="")</f>
      </c>
      <c r="M3" s="49" t="inlineStr">
        <is>
          <t xml:space="preserve">from</t>
        </is>
      </c>
      <c r="N3" s="38">
        <f ca="1">IFERROR(IF($N$9=0,"",xSQ($N$9,$N$10)),"")</f>
      </c>
    </row>
    <row r="4">
      <c r="K4" s="49" t="inlineStr">
        <is>
          <t xml:space="preserve">Candidates kept</t>
        </is>
      </c>
      <c r="L4" s="38">
        <f ca="1">IFERROR(MAX(2,MIN(16,VALUE(Coach!$C$19))),8)</f>
      </c>
      <c r="M4" s="49" t="inlineStr">
        <is>
          <t xml:space="preserve">to</t>
        </is>
      </c>
      <c r="N4" s="38">
        <f ca="1">IFERROR(IF($N$11=0,"",xSQ($N$11,$N$12)),"")</f>
      </c>
    </row>
    <row r="5">
      <c r="M5" s="49" t="inlineStr">
        <is>
          <t xml:space="preserve">piece</t>
        </is>
      </c>
      <c r="N5" s="38">
        <f ca="1">IFERROR(IF($N$9=0,"",INDEX($B$10:$I$17,$N$9,$N$10)),"")</f>
      </c>
    </row>
    <row r="6">
      <c r="K6" s="49" t="inlineStr">
        <is>
          <t xml:space="preserve">Stage 1  candidate list</t>
        </is>
      </c>
      <c r="L6" s="38">
        <f ca="1">_xlfn.LET(_xlpm.on,$L$3,_xlpm.n,$L$4,_xlpm.bd,$B$10:$I$17,_xlpm.sd,TEXT($L$1,"0"),IF(NOT(_xlpm.on),"",_xlfn.LET(_xlpm.g,xGEN(_xlpm.bd,_xlpm.sd),_xlpm.ky,_xlfn.CHOOSECOLS(_xlpm.g,1),_xlpm.nm,ROWS(_xlpm.ky)-1,_xlfn.REDUCE("",_xlfn.SEQUENCE(_xlpm.n),_xlfn.LAMBDA(_xlpm.a,_xlpm.k,IF(_xlpm.k&gt;_xlpm.nm,_xlpm.a,_xlfn.LET(_xlpm.v,LARGE(_xlpm.ky,_xlpm.k),IF(_xlpm.v&lt;=-900000000,_xlpm.a,_xlfn.LET(_xlpm.i,MATCH(_xlpm.v,_xlpm.ky,0),_xlpm.a&amp;INDEX(_xlpm.g,_xlpm.i,3)&amp;INDEX(_xlpm.g,_xlpm.i,4)&amp;INDEX(_xlpm.g,_xlpm.i,5)&amp;INDEX(_xlpm.g,_xlpm.i,6))))))))))</f>
      </c>
      <c r="M6" s="49" t="inlineStr">
        <is>
          <t xml:space="preserve">bot to move now</t>
        </is>
      </c>
      <c r="N6" s="38">
        <f ca="1">IFERROR(AND($N$2&gt;0,livegame!$R$16=$N$2,$L$1=$N$2,RIGHT($N$5,1)=TEXT($N$2,"0"),livegame!$C$1&lt;&gt;TRUE,livegame!$S$17="",$N$3&lt;&gt;"",$N$4&lt;&gt;"",$N$5&lt;&gt;"",$N$7,$N$8),FALSE)</f>
      </c>
    </row>
    <row r="7">
      <c r="A7" s="49" t="inlineStr">
        <is>
          <t xml:space="preserve">Board mirror of livegame!I5:P12</t>
        </is>
      </c>
      <c r="K7" s="49" t="inlineStr">
        <is>
          <t xml:space="preserve">Stage 2  2-ply ranked</t>
        </is>
      </c>
      <c r="L7" s="38">
        <f ca="1">_xlfn.LET(_xlpm.s,$L$6,_xlpm.bd,$B$10:$I$17,_xlpm.sd,TEXT($L$1,"0"),_xlpm.et,IF(_xlpm.sd="1","2","1"),_xlpm.sg,IF(_xlpm.sd="1",1,-1),_xlpm.n,INT(LEN(_xlpm.s)/4),IF(_xlpm.n=0,"",_xlfn.LET(_xlpm.rc,_xlfn.REDUCE("",_xlfn.SEQUENCE(_xlpm.n),_xlfn.LAMBDA(_xlpm.a,_xlpm.k,_xlfn.LET(_xlpm.fr,VALUE(MID(_xlpm.s,(_xlpm.k-1)*4+1,1)),_xlpm.fc,VALUE(MID(_xlpm.s,(_xlpm.k-1)*4+2,1)),_xlpm.tr,VALUE(MID(_xlpm.s,(_xlpm.k-1)*4+3,1)),_xlpm.tc,VALUE(MID(_xlpm.s,(_xlpm.k-1)*4+4,1)),_xlpm.hd,_xlpm.fr&amp;_xlpm.fc&amp;_xlpm.tr&amp;_xlpm.tc,_xlpm.sm,xSIM(_xlpm.bd,_xlpm.fr,_xlpm.fc,_xlpm.tr,_xlpm.tc),_xlpm.ek,xKLOC(_xlpm.sm,_xlpm.et),IF(_xlpm.ek=0,_xlpm.a&amp;_xlpm.hd&amp;"100"&amp;TEXT(700000,"0000000"),_xlfn.LET(_xlpm.ch,IF(xATT(_xlpm.sm,INT(_xlpm.ek/10),MOD(_xlpm.ek,10),_xlpm.sd),1,0),_xlpm.g,xGEN(_xlpm.sm,_xlpm.et),IF(ROWS(_xlpm.g)=1,_xlpm.a&amp;_xlpm.hd&amp;_xlpm.ch&amp;IF(_xlpm.ch=1,"10","01")&amp;TEXT(IF(_xlpm.ch=1,600000,500000),"0000000"),_xlfn.LET(_xlpm.gg,_xlfn.DROP(_xlpm.g,1),_xlpm.s2,MIN(_xlpm.sg*_xlfn.CHOOSECOLS(_xlpm.gg,8)+_xlfn.CHOOSECOLS(_xlpm.gg,7)),_xlpm.a&amp;_xlpm.hd&amp;_xlpm.ch&amp;"00"&amp;TEXT(ROUND(_xlpm.s2,0)+500000,"0000000")))))))),_xlpm.ar,_xlfn.MAKEARRAY(_xlpm.n,1,_xlfn.LAMBDA(_xlpm.k,_xlpm.c,VALUE(MID(_xlpm.rc,(_xlpm.k-1)*14+8,7))*100+(_xlpm.n-_xlpm.k))),_xlfn.REDUCE("",_xlfn.SEQUENCE(MIN(6,_xlpm.n)),_xlfn.LAMBDA(_xlpm.a,_xlpm.k,_xlfn.LET(_xlpm.v,LARGE(_xlpm.ar,_xlpm.k),_xlpm.i,MATCH(_xlpm.v,_xlpm.ar,0),_xlpm.a&amp;MID(_xlpm.rc,(_xlpm.i-1)*14+1,14)))))))</f>
      </c>
      <c r="M7" s="49" t="inlineStr">
        <is>
          <t xml:space="preserve">legal on live board</t>
        </is>
      </c>
      <c r="N7" s="38">
        <f ca="1">TRUE</f>
      </c>
    </row>
    <row r="8">
      <c r="A8" s="43" t="inlineStr">
        <is>
          <t xml:space="preserve">row 1 = White back rank, col 1 = file A</t>
        </is>
      </c>
      <c r="M8" s="49" t="inlineStr">
        <is>
          <t xml:space="preserve">king safe after</t>
        </is>
      </c>
      <c r="N8" s="38">
        <f ca="1">IFERROR(IF($N$9=0,FALSE,_xlfn.LET(_xlpm.sm,xSIM($B$10:$I$17,$N$9,$N$10,$N$11,$N$12),_xlpm.kl,xKLOC(_xlpm.sm,TEXT($N$2,"0")),IF(_xlpm.kl=0,FALSE,NOT(xATT(_xlpm.sm,INT(_xlpm.kl/10),MOD(_xlpm.kl,10),TEXT(3-$N$2,"0")))))),FALSE)</f>
      </c>
    </row>
    <row r="9">
      <c r="N9" s="38">
        <f ca="1">IFERROR(IF(LEN($L$6)&lt;4,0,VALUE(MID($L$6,1,1))),0)</f>
      </c>
    </row>
    <row r="10">
      <c r="B10" s="48">
        <f ca="1">IF(OR(livegame!I5="",livegame!I5=0),"",livegame!I5&amp;"")</f>
      </c>
      <c r="C10" s="48">
        <f ca="1">IF(OR(livegame!J5="",livegame!J5=0),"",livegame!J5&amp;"")</f>
      </c>
      <c r="D10" s="48">
        <f ca="1">IF(OR(livegame!K5="",livegame!K5=0),"",livegame!K5&amp;"")</f>
      </c>
      <c r="E10" s="48">
        <f ca="1">IF(OR(livegame!L5="",livegame!L5=0),"",livegame!L5&amp;"")</f>
      </c>
      <c r="F10" s="48">
        <f ca="1">IF(OR(livegame!M5="",livegame!M5=0),"",livegame!M5&amp;"")</f>
      </c>
      <c r="G10" s="48">
        <f ca="1">IF(OR(livegame!N5="",livegame!N5=0),"",livegame!N5&amp;"")</f>
      </c>
      <c r="H10" s="48">
        <f ca="1">IF(OR(livegame!O5="",livegame!O5=0),"",livegame!O5&amp;"")</f>
      </c>
      <c r="I10" s="48">
        <f ca="1">IF(OR(livegame!P5="",livegame!P5=0),"",livegame!P5&amp;"")</f>
      </c>
      <c r="N10" s="38">
        <f ca="1">IFERROR(IF(LEN($L$6)&lt;4,0,VALUE(MID($L$6,2,1))),0)</f>
      </c>
    </row>
    <row r="11">
      <c r="B11" s="48">
        <f ca="1">IF(OR(livegame!I6="",livegame!I6=0),"",livegame!I6&amp;"")</f>
      </c>
      <c r="C11" s="48">
        <f ca="1">IF(OR(livegame!J6="",livegame!J6=0),"",livegame!J6&amp;"")</f>
      </c>
      <c r="D11" s="48">
        <f ca="1">IF(OR(livegame!K6="",livegame!K6=0),"",livegame!K6&amp;"")</f>
      </c>
      <c r="E11" s="48">
        <f ca="1">IF(OR(livegame!L6="",livegame!L6=0),"",livegame!L6&amp;"")</f>
      </c>
      <c r="F11" s="48">
        <f ca="1">IF(OR(livegame!M6="",livegame!M6=0),"",livegame!M6&amp;"")</f>
      </c>
      <c r="G11" s="48">
        <f ca="1">IF(OR(livegame!N6="",livegame!N6=0),"",livegame!N6&amp;"")</f>
      </c>
      <c r="H11" s="48">
        <f ca="1">IF(OR(livegame!O6="",livegame!O6=0),"",livegame!O6&amp;"")</f>
      </c>
      <c r="I11" s="48">
        <f ca="1">IF(OR(livegame!P6="",livegame!P6=0),"",livegame!P6&amp;"")</f>
      </c>
      <c r="N11" s="38">
        <f ca="1">IFERROR(IF(LEN($L$6)&lt;4,0,VALUE(MID($L$6,3,1))),0)</f>
      </c>
    </row>
    <row r="12">
      <c r="B12" s="48">
        <f ca="1">IF(OR(livegame!I7="",livegame!I7=0),"",livegame!I7&amp;"")</f>
      </c>
      <c r="C12" s="48">
        <f ca="1">IF(OR(livegame!J7="",livegame!J7=0),"",livegame!J7&amp;"")</f>
      </c>
      <c r="D12" s="48">
        <f ca="1">IF(OR(livegame!K7="",livegame!K7=0),"",livegame!K7&amp;"")</f>
      </c>
      <c r="E12" s="48">
        <f ca="1">IF(OR(livegame!L7="",livegame!L7=0),"",livegame!L7&amp;"")</f>
      </c>
      <c r="F12" s="48">
        <f ca="1">IF(OR(livegame!M7="",livegame!M7=0),"",livegame!M7&amp;"")</f>
      </c>
      <c r="G12" s="48">
        <f ca="1">IF(OR(livegame!N7="",livegame!N7=0),"",livegame!N7&amp;"")</f>
      </c>
      <c r="H12" s="48">
        <f ca="1">IF(OR(livegame!O7="",livegame!O7=0),"",livegame!O7&amp;"")</f>
      </c>
      <c r="I12" s="48">
        <f ca="1">IF(OR(livegame!P7="",livegame!P7=0),"",livegame!P7&amp;"")</f>
      </c>
      <c r="N12" s="38">
        <f ca="1">IFERROR(IF(LEN($L$6)&lt;4,0,VALUE(MID($L$6,4,1))),0)</f>
      </c>
    </row>
    <row r="13">
      <c r="B13" s="48">
        <f ca="1">IF(OR(livegame!I8="",livegame!I8=0),"",livegame!I8&amp;"")</f>
      </c>
      <c r="C13" s="48">
        <f ca="1">IF(OR(livegame!J8="",livegame!J8=0),"",livegame!J8&amp;"")</f>
      </c>
      <c r="D13" s="48">
        <f ca="1">IF(OR(livegame!K8="",livegame!K8=0),"",livegame!K8&amp;"")</f>
      </c>
      <c r="E13" s="48">
        <f ca="1">IF(OR(livegame!L8="",livegame!L8=0),"",livegame!L8&amp;"")</f>
      </c>
      <c r="F13" s="48">
        <f ca="1">IF(OR(livegame!M8="",livegame!M8=0),"",livegame!M8&amp;"")</f>
      </c>
      <c r="G13" s="48">
        <f ca="1">IF(OR(livegame!N8="",livegame!N8=0),"",livegame!N8&amp;"")</f>
      </c>
      <c r="H13" s="48">
        <f ca="1">IF(OR(livegame!O8="",livegame!O8=0),"",livegame!O8&amp;"")</f>
      </c>
      <c r="I13" s="48">
        <f ca="1">IF(OR(livegame!P8="",livegame!P8=0),"",livegame!P8&amp;"")</f>
      </c>
    </row>
    <row r="14">
      <c r="B14" s="48">
        <f ca="1">IF(OR(livegame!I9="",livegame!I9=0),"",livegame!I9&amp;"")</f>
      </c>
      <c r="C14" s="48">
        <f ca="1">IF(OR(livegame!J9="",livegame!J9=0),"",livegame!J9&amp;"")</f>
      </c>
      <c r="D14" s="48">
        <f ca="1">IF(OR(livegame!K9="",livegame!K9=0),"",livegame!K9&amp;"")</f>
      </c>
      <c r="E14" s="48">
        <f ca="1">IF(OR(livegame!L9="",livegame!L9=0),"",livegame!L9&amp;"")</f>
      </c>
      <c r="F14" s="48">
        <f ca="1">IF(OR(livegame!M9="",livegame!M9=0),"",livegame!M9&amp;"")</f>
      </c>
      <c r="G14" s="48">
        <f ca="1">IF(OR(livegame!N9="",livegame!N9=0),"",livegame!N9&amp;"")</f>
      </c>
      <c r="H14" s="48">
        <f ca="1">IF(OR(livegame!O9="",livegame!O9=0),"",livegame!O9&amp;"")</f>
      </c>
      <c r="I14" s="48">
        <f ca="1">IF(OR(livegame!P9="",livegame!P9=0),"",livegame!P9&amp;"")</f>
      </c>
    </row>
    <row r="15">
      <c r="B15" s="48">
        <f ca="1">IF(OR(livegame!I10="",livegame!I10=0),"",livegame!I10&amp;"")</f>
      </c>
      <c r="C15" s="48">
        <f ca="1">IF(OR(livegame!J10="",livegame!J10=0),"",livegame!J10&amp;"")</f>
      </c>
      <c r="D15" s="48">
        <f ca="1">IF(OR(livegame!K10="",livegame!K10=0),"",livegame!K10&amp;"")</f>
      </c>
      <c r="E15" s="48">
        <f ca="1">IF(OR(livegame!L10="",livegame!L10=0),"",livegame!L10&amp;"")</f>
      </c>
      <c r="F15" s="48">
        <f ca="1">IF(OR(livegame!M10="",livegame!M10=0),"",livegame!M10&amp;"")</f>
      </c>
      <c r="G15" s="48">
        <f ca="1">IF(OR(livegame!N10="",livegame!N10=0),"",livegame!N10&amp;"")</f>
      </c>
      <c r="H15" s="48">
        <f ca="1">IF(OR(livegame!O10="",livegame!O10=0),"",livegame!O10&amp;"")</f>
      </c>
      <c r="I15" s="48">
        <f ca="1">IF(OR(livegame!P10="",livegame!P10=0),"",livegame!P10&amp;"")</f>
      </c>
    </row>
    <row r="16">
      <c r="B16" s="48">
        <f ca="1">IF(OR(livegame!I11="",livegame!I11=0),"",livegame!I11&amp;"")</f>
      </c>
      <c r="C16" s="48">
        <f ca="1">IF(OR(livegame!J11="",livegame!J11=0),"",livegame!J11&amp;"")</f>
      </c>
      <c r="D16" s="48">
        <f ca="1">IF(OR(livegame!K11="",livegame!K11=0),"",livegame!K11&amp;"")</f>
      </c>
      <c r="E16" s="48">
        <f ca="1">IF(OR(livegame!L11="",livegame!L11=0),"",livegame!L11&amp;"")</f>
      </c>
      <c r="F16" s="48">
        <f ca="1">IF(OR(livegame!M11="",livegame!M11=0),"",livegame!M11&amp;"")</f>
      </c>
      <c r="G16" s="48">
        <f ca="1">IF(OR(livegame!N11="",livegame!N11=0),"",livegame!N11&amp;"")</f>
      </c>
      <c r="H16" s="48">
        <f ca="1">IF(OR(livegame!O11="",livegame!O11=0),"",livegame!O11&amp;"")</f>
      </c>
      <c r="I16" s="48">
        <f ca="1">IF(OR(livegame!P11="",livegame!P11=0),"",livegame!P11&amp;"")</f>
      </c>
    </row>
    <row r="17">
      <c r="B17" s="48">
        <f ca="1">IF(OR(livegame!I12="",livegame!I12=0),"",livegame!I12&amp;"")</f>
      </c>
      <c r="C17" s="48">
        <f ca="1">IF(OR(livegame!J12="",livegame!J12=0),"",livegame!J12&amp;"")</f>
      </c>
      <c r="D17" s="48">
        <f ca="1">IF(OR(livegame!K12="",livegame!K12=0),"",livegame!K12&amp;"")</f>
      </c>
      <c r="E17" s="48">
        <f ca="1">IF(OR(livegame!L12="",livegame!L12=0),"",livegame!L12&amp;"")</f>
      </c>
      <c r="F17" s="48">
        <f ca="1">IF(OR(livegame!M12="",livegame!M12=0),"",livegame!M12&amp;"")</f>
      </c>
      <c r="G17" s="48">
        <f ca="1">IF(OR(livegame!N12="",livegame!N12=0),"",livegame!N12&amp;"")</f>
      </c>
      <c r="H17" s="48">
        <f ca="1">IF(OR(livegame!O12="",livegame!O12=0),"",livegame!O12&amp;"")</f>
      </c>
      <c r="I17" s="48">
        <f ca="1">IF(OR(livegame!P12="",livegame!P12=0),"",livegame!P12&amp;"")</f>
      </c>
    </row>
    <row r="19">
      <c r="A19" s="49" t="inlineStr">
        <is>
          <t xml:space="preserve">Ranked moves</t>
        </is>
      </c>
    </row>
    <row r="20">
      <c r="A20" s="37" t="inlineStr">
        <is>
          <t xml:space="preserve">#</t>
        </is>
      </c>
      <c r="B20" s="37" t="inlineStr">
        <is>
          <t xml:space="preserve">record</t>
        </is>
      </c>
      <c r="C20" s="37" t="inlineStr">
        <is>
          <t xml:space="preserve">from</t>
        </is>
      </c>
      <c r="D20" s="37" t="inlineStr">
        <is>
          <t xml:space="preserve">to</t>
        </is>
      </c>
      <c r="E20" s="37" t="inlineStr">
        <is>
          <t xml:space="preserve">piece</t>
        </is>
      </c>
      <c r="F20" s="37" t="inlineStr">
        <is>
          <t xml:space="preserve">glyph</t>
        </is>
      </c>
      <c r="G20" s="37" t="inlineStr">
        <is>
          <t xml:space="preserve">eval</t>
        </is>
      </c>
      <c r="H20" s="37" t="inlineStr">
        <is>
          <t xml:space="preserve">type</t>
        </is>
      </c>
      <c r="I20" s="37" t="inlineStr">
        <is>
          <t xml:space="preserve">why</t>
        </is>
      </c>
    </row>
    <row r="21">
      <c r="A21" s="38">
        <v>1</v>
      </c>
      <c r="B21" s="38">
        <f ca="1">IF(LEN($L$7)&gt;=$A21*14,MID($L$7,($A21-1)*14+1,14),"")</f>
      </c>
      <c r="C21" s="38">
        <f ca="1">IF($B21="","",xSQ(VALUE(MID($B21,1,1)),VALUE(MID($B21,2,1))))</f>
      </c>
      <c r="D21" s="38">
        <f ca="1">IF($B21="","",xSQ(VALUE(MID($B21,3,1)),VALUE(MID($B21,4,1))))</f>
      </c>
      <c r="E21" s="38">
        <f ca="1">IF($B21="","",xPN(INDEX($B$10:$I$17,VALUE(MID($B21,1,1)),VALUE(MID($B21,2,1)))))</f>
      </c>
      <c r="F21" s="38">
        <f ca="1">IF($B21="","",xGLY(INDEX($B$10:$I$17,VALUE(MID($B21,1,1)),VALUE(MID($B21,2,1)))))</f>
      </c>
      <c r="G21" s="44">
        <f ca="1">IF($B21="","",(VALUE(MID($B21,8,7))-500000)/100)</f>
      </c>
      <c r="H21" s="38">
        <f ca="1">IF($B21="","",IF(MID($B21,6,1)="1","Checkmate",IF(MID($B21,7,1)="1","Stalemate",IF(MID($B21,5,1)="1","Check",IF(INDEX($B$10:$I$17,VALUE(MID($B21,3,1)),VALUE(MID($B21,4,1)))&lt;&gt;"","Capture","Quiet")))))</f>
      </c>
      <c r="I21" s="38">
        <f ca="1">IF($B21="","",_xlfn.LET(_xlpm.fr,VALUE(MID($B21,1,1)),_xlpm.fc,VALUE(MID($B21,2,1)),_xlpm.tr,VALUE(MID($B21,3,1)),_xlpm.tc,VALUE(MID($B21,4,1)),_xlpm.pc,INDEX($B$10:$I$17,_xlpm.fr,_xlpm.fc),_xlpm.cp,INDEX($B$10:$I$17,_xlpm.tr,_xlpm.tc),_xlpm.ch,MID($B21,5,1)="1",_xlpm.mt,MID($B21,6,1)="1",_xlpm.st,MID($B21,7,1)="1",_xlpm.nm,xPN(_xlpm.pc),_xlpm.esc,xHANG($B$10:$I$17,_xlpm.fr,_xlpm.fc)&gt;0,_xlpm.ck,IF(_xlpm.ch," with check",""),IF(_xlpm.mt,"Checkmate. "&amp;_xlpm.nm&amp;" to "&amp;$D21&amp;" and there is no legal reply.",IF(_xlpm.st,"Stalemate. Throws the position away, pick another move.",IF(_xlpm.cp&lt;&gt;"",_xlpm.nm&amp;" takes the "&amp;xPN(_xlpm.cp)&amp;" on "&amp;$D21&amp;_xlpm.ck&amp;".",IF(_xlpm.esc,_xlpm.nm&amp;" escapes "&amp;$C21&amp;", where it can be taken, and goes to "&amp;$D21&amp;_xlpm.ck&amp;".",IF(_xlpm.ch,_xlpm.nm&amp;" "&amp;$C21&amp;" to "&amp;$D21&amp;" gives check.",_xlpm.nm&amp;" "&amp;$C21&amp;" to "&amp;$D21&amp;".")))))))</f>
      </c>
    </row>
    <row r="22">
      <c r="A22" s="38">
        <v>2</v>
      </c>
      <c r="B22" s="38">
        <f ca="1">IF(LEN($L$7)&gt;=$A22*14,MID($L$7,($A22-1)*14+1,14),"")</f>
      </c>
      <c r="C22" s="38">
        <f ca="1">IF($B22="","",xSQ(VALUE(MID($B22,1,1)),VALUE(MID($B22,2,1))))</f>
      </c>
      <c r="D22" s="38">
        <f ca="1">IF($B22="","",xSQ(VALUE(MID($B22,3,1)),VALUE(MID($B22,4,1))))</f>
      </c>
      <c r="E22" s="38">
        <f ca="1">IF($B22="","",xPN(INDEX($B$10:$I$17,VALUE(MID($B22,1,1)),VALUE(MID($B22,2,1)))))</f>
      </c>
      <c r="F22" s="38">
        <f ca="1">IF($B22="","",xGLY(INDEX($B$10:$I$17,VALUE(MID($B22,1,1)),VALUE(MID($B22,2,1)))))</f>
      </c>
      <c r="G22" s="44">
        <f ca="1">IF($B22="","",(VALUE(MID($B22,8,7))-500000)/100)</f>
      </c>
      <c r="H22" s="38">
        <f ca="1">IF($B22="","",IF(MID($B22,6,1)="1","Checkmate",IF(MID($B22,7,1)="1","Stalemate",IF(MID($B22,5,1)="1","Check",IF(INDEX($B$10:$I$17,VALUE(MID($B22,3,1)),VALUE(MID($B22,4,1)))&lt;&gt;"","Capture","Quiet")))))</f>
      </c>
      <c r="I22" s="38">
        <f ca="1">IF($B22="","",_xlfn.LET(_xlpm.fr,VALUE(MID($B22,1,1)),_xlpm.fc,VALUE(MID($B22,2,1)),_xlpm.tr,VALUE(MID($B22,3,1)),_xlpm.tc,VALUE(MID($B22,4,1)),_xlpm.pc,INDEX($B$10:$I$17,_xlpm.fr,_xlpm.fc),_xlpm.cp,INDEX($B$10:$I$17,_xlpm.tr,_xlpm.tc),_xlpm.ch,MID($B22,5,1)="1",_xlpm.mt,MID($B22,6,1)="1",_xlpm.st,MID($B22,7,1)="1",_xlpm.nm,xPN(_xlpm.pc),_xlpm.esc,xHANG($B$10:$I$17,_xlpm.fr,_xlpm.fc)&gt;0,_xlpm.ck,IF(_xlpm.ch," with check",""),IF(_xlpm.mt,"Checkmate. "&amp;_xlpm.nm&amp;" to "&amp;$D22&amp;" and there is no legal reply.",IF(_xlpm.st,"Stalemate. Throws the position away, pick another move.",IF(_xlpm.cp&lt;&gt;"",_xlpm.nm&amp;" takes the "&amp;xPN(_xlpm.cp)&amp;" on "&amp;$D22&amp;_xlpm.ck&amp;".",IF(_xlpm.esc,_xlpm.nm&amp;" escapes "&amp;$C22&amp;", where it can be taken, and goes to "&amp;$D22&amp;_xlpm.ck&amp;".",IF(_xlpm.ch,_xlpm.nm&amp;" "&amp;$C22&amp;" to "&amp;$D22&amp;" gives check.",_xlpm.nm&amp;" "&amp;$C22&amp;" to "&amp;$D22&amp;".")))))))</f>
      </c>
    </row>
    <row r="23">
      <c r="A23" s="38">
        <v>3</v>
      </c>
      <c r="B23" s="38">
        <f ca="1">IF(LEN($L$7)&gt;=$A23*14,MID($L$7,($A23-1)*14+1,14),"")</f>
      </c>
      <c r="C23" s="38">
        <f ca="1">IF($B23="","",xSQ(VALUE(MID($B23,1,1)),VALUE(MID($B23,2,1))))</f>
      </c>
      <c r="D23" s="38">
        <f ca="1">IF($B23="","",xSQ(VALUE(MID($B23,3,1)),VALUE(MID($B23,4,1))))</f>
      </c>
      <c r="E23" s="38">
        <f ca="1">IF($B23="","",xPN(INDEX($B$10:$I$17,VALUE(MID($B23,1,1)),VALUE(MID($B23,2,1)))))</f>
      </c>
      <c r="F23" s="38">
        <f ca="1">IF($B23="","",xGLY(INDEX($B$10:$I$17,VALUE(MID($B23,1,1)),VALUE(MID($B23,2,1)))))</f>
      </c>
      <c r="G23" s="44">
        <f ca="1">IF($B23="","",(VALUE(MID($B23,8,7))-500000)/100)</f>
      </c>
      <c r="H23" s="38">
        <f ca="1">IF($B23="","",IF(MID($B23,6,1)="1","Checkmate",IF(MID($B23,7,1)="1","Stalemate",IF(MID($B23,5,1)="1","Check",IF(INDEX($B$10:$I$17,VALUE(MID($B23,3,1)),VALUE(MID($B23,4,1)))&lt;&gt;"","Capture","Quiet")))))</f>
      </c>
      <c r="I23" s="38">
        <f ca="1">IF($B23="","",_xlfn.LET(_xlpm.fr,VALUE(MID($B23,1,1)),_xlpm.fc,VALUE(MID($B23,2,1)),_xlpm.tr,VALUE(MID($B23,3,1)),_xlpm.tc,VALUE(MID($B23,4,1)),_xlpm.pc,INDEX($B$10:$I$17,_xlpm.fr,_xlpm.fc),_xlpm.cp,INDEX($B$10:$I$17,_xlpm.tr,_xlpm.tc),_xlpm.ch,MID($B23,5,1)="1",_xlpm.mt,MID($B23,6,1)="1",_xlpm.st,MID($B23,7,1)="1",_xlpm.nm,xPN(_xlpm.pc),_xlpm.esc,xHANG($B$10:$I$17,_xlpm.fr,_xlpm.fc)&gt;0,_xlpm.ck,IF(_xlpm.ch," with check",""),IF(_xlpm.mt,"Checkmate. "&amp;_xlpm.nm&amp;" to "&amp;$D23&amp;" and there is no legal reply.",IF(_xlpm.st,"Stalemate. Throws the position away, pick another move.",IF(_xlpm.cp&lt;&gt;"",_xlpm.nm&amp;" takes the "&amp;xPN(_xlpm.cp)&amp;" on "&amp;$D23&amp;_xlpm.ck&amp;".",IF(_xlpm.esc,_xlpm.nm&amp;" escapes "&amp;$C23&amp;", where it can be taken, and goes to "&amp;$D23&amp;_xlpm.ck&amp;".",IF(_xlpm.ch,_xlpm.nm&amp;" "&amp;$C23&amp;" to "&amp;$D23&amp;" gives check.",_xlpm.nm&amp;" "&amp;$C23&amp;" to "&amp;$D23&amp;".")))))))</f>
      </c>
    </row>
    <row r="24">
      <c r="A24" s="38">
        <v>4</v>
      </c>
      <c r="B24" s="38">
        <f ca="1">IF(LEN($L$7)&gt;=$A24*14,MID($L$7,($A24-1)*14+1,14),"")</f>
      </c>
      <c r="C24" s="38">
        <f ca="1">IF($B24="","",xSQ(VALUE(MID($B24,1,1)),VALUE(MID($B24,2,1))))</f>
      </c>
      <c r="D24" s="38">
        <f ca="1">IF($B24="","",xSQ(VALUE(MID($B24,3,1)),VALUE(MID($B24,4,1))))</f>
      </c>
      <c r="E24" s="38">
        <f ca="1">IF($B24="","",xPN(INDEX($B$10:$I$17,VALUE(MID($B24,1,1)),VALUE(MID($B24,2,1)))))</f>
      </c>
      <c r="F24" s="38">
        <f ca="1">IF($B24="","",xGLY(INDEX($B$10:$I$17,VALUE(MID($B24,1,1)),VALUE(MID($B24,2,1)))))</f>
      </c>
      <c r="G24" s="44">
        <f ca="1">IF($B24="","",(VALUE(MID($B24,8,7))-500000)/100)</f>
      </c>
      <c r="H24" s="38">
        <f ca="1">IF($B24="","",IF(MID($B24,6,1)="1","Checkmate",IF(MID($B24,7,1)="1","Stalemate",IF(MID($B24,5,1)="1","Check",IF(INDEX($B$10:$I$17,VALUE(MID($B24,3,1)),VALUE(MID($B24,4,1)))&lt;&gt;"","Capture","Quiet")))))</f>
      </c>
      <c r="I24" s="38">
        <f ca="1">IF($B24="","",_xlfn.LET(_xlpm.fr,VALUE(MID($B24,1,1)),_xlpm.fc,VALUE(MID($B24,2,1)),_xlpm.tr,VALUE(MID($B24,3,1)),_xlpm.tc,VALUE(MID($B24,4,1)),_xlpm.pc,INDEX($B$10:$I$17,_xlpm.fr,_xlpm.fc),_xlpm.cp,INDEX($B$10:$I$17,_xlpm.tr,_xlpm.tc),_xlpm.ch,MID($B24,5,1)="1",_xlpm.mt,MID($B24,6,1)="1",_xlpm.st,MID($B24,7,1)="1",_xlpm.nm,xPN(_xlpm.pc),_xlpm.esc,xHANG($B$10:$I$17,_xlpm.fr,_xlpm.fc)&gt;0,_xlpm.ck,IF(_xlpm.ch," with check",""),IF(_xlpm.mt,"Checkmate. "&amp;_xlpm.nm&amp;" to "&amp;$D24&amp;" and there is no legal reply.",IF(_xlpm.st,"Stalemate. Throws the position away, pick another move.",IF(_xlpm.cp&lt;&gt;"",_xlpm.nm&amp;" takes the "&amp;xPN(_xlpm.cp)&amp;" on "&amp;$D24&amp;_xlpm.ck&amp;".",IF(_xlpm.esc,_xlpm.nm&amp;" escapes "&amp;$C24&amp;", where it can be taken, and goes to "&amp;$D24&amp;_xlpm.ck&amp;".",IF(_xlpm.ch,_xlpm.nm&amp;" "&amp;$C24&amp;" to "&amp;$D24&amp;" gives check.",_xlpm.nm&amp;" "&amp;$C24&amp;" to "&amp;$D24&amp;".")))))))</f>
      </c>
    </row>
    <row r="25">
      <c r="A25" s="38">
        <v>5</v>
      </c>
      <c r="B25" s="38">
        <f ca="1">IF(LEN($L$7)&gt;=$A25*14,MID($L$7,($A25-1)*14+1,14),"")</f>
      </c>
      <c r="C25" s="38">
        <f ca="1">IF($B25="","",xSQ(VALUE(MID($B25,1,1)),VALUE(MID($B25,2,1))))</f>
      </c>
      <c r="D25" s="38">
        <f ca="1">IF($B25="","",xSQ(VALUE(MID($B25,3,1)),VALUE(MID($B25,4,1))))</f>
      </c>
      <c r="E25" s="38">
        <f ca="1">IF($B25="","",xPN(INDEX($B$10:$I$17,VALUE(MID($B25,1,1)),VALUE(MID($B25,2,1)))))</f>
      </c>
      <c r="F25" s="38">
        <f ca="1">IF($B25="","",xGLY(INDEX($B$10:$I$17,VALUE(MID($B25,1,1)),VALUE(MID($B25,2,1)))))</f>
      </c>
      <c r="G25" s="44">
        <f ca="1">IF($B25="","",(VALUE(MID($B25,8,7))-500000)/100)</f>
      </c>
      <c r="H25" s="38">
        <f ca="1">IF($B25="","",IF(MID($B25,6,1)="1","Checkmate",IF(MID($B25,7,1)="1","Stalemate",IF(MID($B25,5,1)="1","Check",IF(INDEX($B$10:$I$17,VALUE(MID($B25,3,1)),VALUE(MID($B25,4,1)))&lt;&gt;"","Capture","Quiet")))))</f>
      </c>
      <c r="I25" s="38">
        <f ca="1">IF($B25="","",_xlfn.LET(_xlpm.fr,VALUE(MID($B25,1,1)),_xlpm.fc,VALUE(MID($B25,2,1)),_xlpm.tr,VALUE(MID($B25,3,1)),_xlpm.tc,VALUE(MID($B25,4,1)),_xlpm.pc,INDEX($B$10:$I$17,_xlpm.fr,_xlpm.fc),_xlpm.cp,INDEX($B$10:$I$17,_xlpm.tr,_xlpm.tc),_xlpm.ch,MID($B25,5,1)="1",_xlpm.mt,MID($B25,6,1)="1",_xlpm.st,MID($B25,7,1)="1",_xlpm.nm,xPN(_xlpm.pc),_xlpm.esc,xHANG($B$10:$I$17,_xlpm.fr,_xlpm.fc)&gt;0,_xlpm.ck,IF(_xlpm.ch," with check",""),IF(_xlpm.mt,"Checkmate. "&amp;_xlpm.nm&amp;" to "&amp;$D25&amp;" and there is no legal reply.",IF(_xlpm.st,"Stalemate. Throws the position away, pick another move.",IF(_xlpm.cp&lt;&gt;"",_xlpm.nm&amp;" takes the "&amp;xPN(_xlpm.cp)&amp;" on "&amp;$D25&amp;_xlpm.ck&amp;".",IF(_xlpm.esc,_xlpm.nm&amp;" escapes "&amp;$C25&amp;", where it can be taken, and goes to "&amp;$D25&amp;_xlpm.ck&amp;".",IF(_xlpm.ch,_xlpm.nm&amp;" "&amp;$C25&amp;" to "&amp;$D25&amp;" gives check.",_xlpm.nm&amp;" "&amp;$C25&amp;" to "&amp;$D25&amp;".")))))))</f>
      </c>
    </row>
    <row r="26">
      <c r="A26" s="38">
        <v>6</v>
      </c>
      <c r="B26" s="38">
        <f ca="1">IF(LEN($L$7)&gt;=$A26*14,MID($L$7,($A26-1)*14+1,14),"")</f>
      </c>
      <c r="C26" s="38">
        <f ca="1">IF($B26="","",xSQ(VALUE(MID($B26,1,1)),VALUE(MID($B26,2,1))))</f>
      </c>
      <c r="D26" s="38">
        <f ca="1">IF($B26="","",xSQ(VALUE(MID($B26,3,1)),VALUE(MID($B26,4,1))))</f>
      </c>
      <c r="E26" s="38">
        <f ca="1">IF($B26="","",xPN(INDEX($B$10:$I$17,VALUE(MID($B26,1,1)),VALUE(MID($B26,2,1)))))</f>
      </c>
      <c r="F26" s="38">
        <f ca="1">IF($B26="","",xGLY(INDEX($B$10:$I$17,VALUE(MID($B26,1,1)),VALUE(MID($B26,2,1)))))</f>
      </c>
      <c r="G26" s="44">
        <f ca="1">IF($B26="","",(VALUE(MID($B26,8,7))-500000)/100)</f>
      </c>
      <c r="H26" s="38">
        <f ca="1">IF($B26="","",IF(MID($B26,6,1)="1","Checkmate",IF(MID($B26,7,1)="1","Stalemate",IF(MID($B26,5,1)="1","Check",IF(INDEX($B$10:$I$17,VALUE(MID($B26,3,1)),VALUE(MID($B26,4,1)))&lt;&gt;"","Capture","Quiet")))))</f>
      </c>
      <c r="I26" s="38">
        <f ca="1">IF($B26="","",_xlfn.LET(_xlpm.fr,VALUE(MID($B26,1,1)),_xlpm.fc,VALUE(MID($B26,2,1)),_xlpm.tr,VALUE(MID($B26,3,1)),_xlpm.tc,VALUE(MID($B26,4,1)),_xlpm.pc,INDEX($B$10:$I$17,_xlpm.fr,_xlpm.fc),_xlpm.cp,INDEX($B$10:$I$17,_xlpm.tr,_xlpm.tc),_xlpm.ch,MID($B26,5,1)="1",_xlpm.mt,MID($B26,6,1)="1",_xlpm.st,MID($B26,7,1)="1",_xlpm.nm,xPN(_xlpm.pc),_xlpm.esc,xHANG($B$10:$I$17,_xlpm.fr,_xlpm.fc)&gt;0,_xlpm.ck,IF(_xlpm.ch," with check",""),IF(_xlpm.mt,"Checkmate. "&amp;_xlpm.nm&amp;" to "&amp;$D26&amp;" and there is no legal reply.",IF(_xlpm.st,"Stalemate. Throws the position away, pick another move.",IF(_xlpm.cp&lt;&gt;"",_xlpm.nm&amp;" takes the "&amp;xPN(_xlpm.cp)&amp;" on "&amp;$D26&amp;_xlpm.ck&amp;".",IF(_xlpm.esc,_xlpm.nm&amp;" escapes "&amp;$C26&amp;", where it can be taken, and goes to "&amp;$D26&amp;_xlpm.ck&amp;".",IF(_xlpm.ch,_xlpm.nm&amp;" "&amp;$C26&amp;" to "&amp;$D26&amp;" gives check.",_xlpm.nm&amp;" "&amp;$C26&amp;" to "&amp;$D26&amp;".")))))))</f>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B11226"/>
  </sheetPr>
  <dimension ref="A1:G21"/>
  <sheetViews>
    <sheetView showGridLines="0" workbookViewId="0"/>
  </sheetViews>
  <sheetFormatPr baseColWidth="10" defaultRowHeight="16"/>
  <cols>
    <col min="1" max="1" width="2.5" customWidth="1"/>
    <col min="2" max="2" width="5" customWidth="1"/>
    <col min="3" max="3" width="17" customWidth="1"/>
    <col min="4" max="4" width="15" customWidth="1"/>
    <col min="5" max="5" width="9" customWidth="1"/>
    <col min="6" max="6" width="12" customWidth="1"/>
    <col min="7" max="7" width="64" customWidth="1"/>
  </cols>
  <sheetData>
    <row r="1" ht="34" customHeight="1">
      <c r="B1" s="35" t="inlineStr">
        <is>
          <t xml:space="preserve">CHESS COACH</t>
        </is>
      </c>
    </row>
    <row r="2">
      <c r="B2" s="40" t="inlineStr">
        <is>
          <t xml:space="preserve">Best-move suggestions, recalculated from the live board.</t>
        </is>
      </c>
    </row>
    <row r="4" ht="34" customHeight="1">
      <c r="B4" s="36">
        <f ca="1">IF(Engine!$L$1=1,"♔   WHITE TO MOVE","♚   BLACK TO MOVE")</f>
      </c>
      <c r="C4" s="36"/>
      <c r="D4" s="36"/>
      <c r="E4" s="36"/>
      <c r="F4" s="36"/>
      <c r="G4" s="36"/>
    </row>
    <row r="5">
      <c r="B5" s="45">
        <f ca="1">IF(livegame!S17&lt;&gt;"",livegame!S17,IF(AND(livegame!X23&lt;&gt;"",livegame!X23&lt;&gt;0),livegame!X23,"Game in progress"))</f>
      </c>
      <c r="C5" s="45"/>
      <c r="D5" s="45"/>
      <c r="E5" s="45"/>
      <c r="F5" s="45"/>
      <c r="G5" s="45"/>
    </row>
    <row r="7">
      <c r="B7" s="46" t="inlineStr">
        <is>
          <t xml:space="preserve">BEST MOVE</t>
        </is>
      </c>
      <c r="C7" s="46"/>
      <c r="D7" s="46"/>
      <c r="E7" s="46"/>
      <c r="F7" s="46"/>
      <c r="G7" s="46"/>
    </row>
    <row r="8" ht="42" customHeight="1">
      <c r="B8" s="41">
        <f ca="1">IF(Engine!$C$21="","No move available",Engine!$F$21&amp;"   "&amp;Engine!$C$21&amp;"  to  "&amp;Engine!$D$21)</f>
      </c>
      <c r="C8" s="41"/>
      <c r="D8" s="41"/>
      <c r="E8" s="44">
        <f ca="1">IF(Engine!$C$21="","",IF(Engine!$H$21="Checkmate","M1",IF(Engine!$H$21="Stalemate","draw",TEXT(Engine!$G$21,"+0.00;-0.00;0.00"))))</f>
      </c>
      <c r="F8" s="47">
        <f ca="1">IF(Engine!$C$21="","",Engine!$I$21)</f>
      </c>
      <c r="G8" s="47"/>
    </row>
    <row r="10" ht="22" customHeight="1">
      <c r="B10" s="37" t="inlineStr">
        <is>
          <t xml:space="preserve">#</t>
        </is>
      </c>
      <c r="C10" s="37" t="inlineStr">
        <is>
          <t xml:space="preserve">Move</t>
        </is>
      </c>
      <c r="D10" s="37" t="inlineStr">
        <is>
          <t xml:space="preserve">Piece</t>
        </is>
      </c>
      <c r="E10" s="37" t="inlineStr">
        <is>
          <t xml:space="preserve">Eval</t>
        </is>
      </c>
      <c r="F10" s="37" t="inlineStr">
        <is>
          <t xml:space="preserve">Type</t>
        </is>
      </c>
      <c r="G10" s="37" t="inlineStr">
        <is>
          <t xml:space="preserve">Why this move</t>
        </is>
      </c>
    </row>
    <row r="11" ht="28" customHeight="1">
      <c r="B11" s="38">
        <v>1</v>
      </c>
      <c r="C11" s="39">
        <f ca="1">IF(Engine!$C$21="","",Engine!$C$21&amp;"  to  "&amp;Engine!$D$21)</f>
      </c>
      <c r="D11" s="38">
        <f ca="1">IF(Engine!$C$21="","",Engine!$F$21&amp;"  "&amp;Engine!$E$21)</f>
      </c>
      <c r="E11" s="44">
        <f ca="1">IF(Engine!$C$21="","",IF(Engine!$H$21="Checkmate","M1",IF(Engine!$H$21="Stalemate","draw",TEXT(Engine!$G$21,"+0.00;-0.00;0.00"))))</f>
      </c>
      <c r="F11" s="38">
        <f ca="1">IF(Engine!$C$21="","",Engine!$H$21)</f>
      </c>
      <c r="G11" s="47">
        <f ca="1">IF(Engine!$C$21="","",Engine!$I$21)</f>
      </c>
    </row>
    <row r="12" ht="28" customHeight="1">
      <c r="B12" s="38">
        <v>2</v>
      </c>
      <c r="C12" s="39">
        <f ca="1">IF(Engine!$C$22="","",Engine!$C$22&amp;"  to  "&amp;Engine!$D$22)</f>
      </c>
      <c r="D12" s="38">
        <f ca="1">IF(Engine!$C$22="","",Engine!$F$22&amp;"  "&amp;Engine!$E$22)</f>
      </c>
      <c r="E12" s="44">
        <f ca="1">IF(Engine!$C$22="","",IF(Engine!$H$22="Checkmate","M1",IF(Engine!$H$22="Stalemate","draw",TEXT(Engine!$G$22,"+0.00;-0.00;0.00"))))</f>
      </c>
      <c r="F12" s="38">
        <f ca="1">IF(Engine!$C$22="","",Engine!$H$22)</f>
      </c>
      <c r="G12" s="47">
        <f ca="1">IF(Engine!$C$22="","",Engine!$I$22)</f>
      </c>
    </row>
    <row r="13" ht="28" customHeight="1">
      <c r="B13" s="38">
        <v>3</v>
      </c>
      <c r="C13" s="39">
        <f ca="1">IF(Engine!$C$23="","",Engine!$C$23&amp;"  to  "&amp;Engine!$D$23)</f>
      </c>
      <c r="D13" s="38">
        <f ca="1">IF(Engine!$C$23="","",Engine!$F$23&amp;"  "&amp;Engine!$E$23)</f>
      </c>
      <c r="E13" s="44">
        <f ca="1">IF(Engine!$C$23="","",IF(Engine!$H$23="Checkmate","M1",IF(Engine!$H$23="Stalemate","draw",TEXT(Engine!$G$23,"+0.00;-0.00;0.00"))))</f>
      </c>
      <c r="F13" s="38">
        <f ca="1">IF(Engine!$C$23="","",Engine!$H$23)</f>
      </c>
      <c r="G13" s="47">
        <f ca="1">IF(Engine!$C$23="","",Engine!$I$23)</f>
      </c>
    </row>
    <row r="14" ht="28" customHeight="1">
      <c r="B14" s="38">
        <v>4</v>
      </c>
      <c r="C14" s="39">
        <f ca="1">IF(Engine!$C$24="","",Engine!$C$24&amp;"  to  "&amp;Engine!$D$24)</f>
      </c>
      <c r="D14" s="38">
        <f ca="1">IF(Engine!$C$24="","",Engine!$F$24&amp;"  "&amp;Engine!$E$24)</f>
      </c>
      <c r="E14" s="44">
        <f ca="1">IF(Engine!$C$24="","",IF(Engine!$H$24="Checkmate","M1",IF(Engine!$H$24="Stalemate","draw",TEXT(Engine!$G$24,"+0.00;-0.00;0.00"))))</f>
      </c>
      <c r="F14" s="38">
        <f ca="1">IF(Engine!$C$24="","",Engine!$H$24)</f>
      </c>
      <c r="G14" s="47">
        <f ca="1">IF(Engine!$C$24="","",Engine!$I$24)</f>
      </c>
    </row>
    <row r="15" ht="28" customHeight="1">
      <c r="B15" s="38">
        <v>5</v>
      </c>
      <c r="C15" s="39">
        <f ca="1">IF(Engine!$C$25="","",Engine!$C$25&amp;"  to  "&amp;Engine!$D$25)</f>
      </c>
      <c r="D15" s="38">
        <f ca="1">IF(Engine!$C$25="","",Engine!$F$25&amp;"  "&amp;Engine!$E$25)</f>
      </c>
      <c r="E15" s="44">
        <f ca="1">IF(Engine!$C$25="","",IF(Engine!$H$25="Checkmate","M1",IF(Engine!$H$25="Stalemate","draw",TEXT(Engine!$G$25,"+0.00;-0.00;0.00"))))</f>
      </c>
      <c r="F15" s="38">
        <f ca="1">IF(Engine!$C$25="","",Engine!$H$25)</f>
      </c>
      <c r="G15" s="47">
        <f ca="1">IF(Engine!$C$25="","",Engine!$I$25)</f>
      </c>
    </row>
    <row r="16" ht="28" customHeight="1">
      <c r="B16" s="38">
        <v>6</v>
      </c>
      <c r="C16" s="39">
        <f ca="1">IF(Engine!$C$26="","",Engine!$C$26&amp;"  to  "&amp;Engine!$D$26)</f>
      </c>
      <c r="D16" s="38">
        <f ca="1">IF(Engine!$C$26="","",Engine!$F$26&amp;"  "&amp;Engine!$E$26)</f>
      </c>
      <c r="E16" s="44">
        <f ca="1">IF(Engine!$C$26="","",IF(Engine!$H$26="Checkmate","M1",IF(Engine!$H$26="Stalemate","draw",TEXT(Engine!$G$26,"+0.00;-0.00;0.00"))))</f>
      </c>
      <c r="F16" s="38">
        <f ca="1">IF(Engine!$C$26="","",Engine!$H$26)</f>
      </c>
      <c r="G16" s="47">
        <f ca="1">IF(Engine!$C$26="","",Engine!$I$26)</f>
      </c>
    </row>
    <row r="18">
      <c r="B18" s="49" t="inlineStr">
        <is>
          <t xml:space="preserve">Engine</t>
        </is>
      </c>
      <c r="C18" s="48" t="inlineStr">
        <is>
          <t xml:space="preserve">ON</t>
        </is>
      </c>
      <c r="D18" s="43" t="inlineStr">
        <is>
          <t xml:space="preserve">set to OFF if the board feels slow</t>
        </is>
      </c>
    </row>
    <row r="19">
      <c r="B19" s="49" t="inlineStr">
        <is>
          <t xml:space="preserve">Candidates</t>
        </is>
      </c>
      <c r="C19" s="48">
        <v>8</v>
      </c>
      <c r="D19" s="43" t="inlineStr">
        <is>
          <t xml:space="preserve">moves taken to the 2-ply stage</t>
        </is>
      </c>
    </row>
    <row r="20">
      <c r="B20" s="49" t="inlineStr">
        <is>
          <t xml:space="preserve">Engine plays</t>
        </is>
      </c>
      <c r="C20" s="48" t="inlineStr">
        <is>
          <t xml:space="preserve">OFF</t>
        </is>
      </c>
      <c r="D20" s="43" t="inlineStr">
        <is>
          <t xml:space="preserve">engine answers your moves automatically</t>
        </is>
      </c>
    </row>
    <row r="21" ht="58" customHeight="1">
      <c r="B21" s="43" t="inlineStr">
        <is>
          <t xml:space="preserve">Eval is in pawns for the side to move: +1.00 means that side is a pawn up, M1 is mate in one. Stage 1 scores every legal move on material, piece placement and whether the landing square is defended; stage 2 answers the best few with the opponent's whole legal reply list and keeps the worst outcome. Engine plays makes it answer your moves by itself, driving the same squares you would click, so captures, promotion and the turn indicator all behave normally; set it to OFF for two-player. Autoplay uses the stage 1 score and takes a few seconds a move. Castling and en passant are not generated, and forks that pay off two moves later are past the horizon.</t>
        </is>
      </c>
      <c r="C21" s="43"/>
      <c r="D21" s="43"/>
      <c r="E21" s="43"/>
      <c r="F21" s="43"/>
      <c r="G21" s="43"/>
    </row>
  </sheetData>
  <mergeCells count="5">
    <mergeCell ref="B4:G4"/>
    <mergeCell ref="B5:G5"/>
    <mergeCell ref="B8:D8"/>
    <mergeCell ref="F8:G8"/>
    <mergeCell ref="B21:G21"/>
  </mergeCells>
  <dataValidations count="2">
    <dataValidation type="list" allowBlank="1" showInputMessage="1" showErrorMessage="1" sqref="C18">
      <formula1>"ON,OFF"</formula1>
    </dataValidation>
    <dataValidation type="list" allowBlank="1" showInputMessage="1" showErrorMessage="1" sqref="C19">
      <formula1>"4,6,8,10,12,16"</formula1>
    </dataValidation>
    <dataValidation type="list" allowBlank="1" showInputMessage="1" showErrorMessage="1" sqref="C20">
      <formula1>"OFF,Black,White"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Sheet1</vt:lpstr>
      <vt:lpstr>piecetype</vt:lpstr>
      <vt:lpstr>input handling</vt:lpstr>
      <vt:lpstr>inputsimplified</vt:lpstr>
      <vt:lpstr>livegame</vt:lpstr>
      <vt:lpstr>Logs</vt:lpstr>
      <vt:lpstr>base</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Warren, Caden</dc:creator>
  <cp:lastModifiedBy>Warren, Caden</cp:lastModifiedBy>
  <dcterms:created xsi:type="dcterms:W3CDTF">2026-01-27T19:11:23Z</dcterms:created>
  <dcterms:modified xsi:type="dcterms:W3CDTF">2026-09-10T15:43:48Z</dcterms:modified>
</cp:coreProperties>
</file>