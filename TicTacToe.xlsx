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den/Desktop/"/>
    </mc:Choice>
  </mc:AlternateContent>
  <xr:revisionPtr revIDLastSave="0" documentId="8_{349ED788-A470-BF42-AB0D-08E0E6B4C618}" xr6:coauthVersionLast="47" xr6:coauthVersionMax="47" xr10:uidLastSave="{00000000-0000-0000-0000-000000000000}"/>
  <bookViews>
    <workbookView xWindow="4360" yWindow="660" windowWidth="30200" windowHeight="20080" xr2:uid="{5C2BA4FF-ADDE-F24A-ADDD-AAA59D61B47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 a="1"/>
  <c r="B5" i="1" a="1"/>
  <c r="B5" i="1" l="1"/>
  <c r="B8" i="1"/>
  <c r="I2" i="1" l="1" a="1"/>
  <c r="I2" i="1" s="1"/>
  <c r="H2" i="1" l="1"/>
  <c r="J2" i="1"/>
  <c r="H3" i="1"/>
  <c r="J3" i="1"/>
  <c r="H4" i="1"/>
  <c r="J4" i="1"/>
  <c r="H5" i="1"/>
  <c r="J5" i="1" s="1"/>
  <c r="H6" i="1"/>
  <c r="J6" i="1" s="1"/>
  <c r="H7" i="1"/>
  <c r="J7" i="1"/>
  <c r="H8" i="1"/>
  <c r="J8" i="1" s="1"/>
  <c r="H9" i="1"/>
  <c r="J9" i="1"/>
  <c r="H10" i="1"/>
  <c r="J10" i="1"/>
  <c r="C22" i="1"/>
  <c r="K11" i="1" l="1"/>
  <c r="L20" i="1"/>
  <c r="L19" i="1"/>
  <c r="L18" i="1"/>
  <c r="L17" i="1"/>
  <c r="L15" i="1"/>
  <c r="L16" i="1"/>
  <c r="L14" i="1"/>
  <c r="L13" i="1"/>
  <c r="L12" i="1"/>
  <c r="S27" i="1" l="1"/>
  <c r="Q29" i="1"/>
  <c r="O31" i="1"/>
  <c r="M33" i="1"/>
  <c r="T34" i="1"/>
  <c r="M26" i="1"/>
  <c r="T27" i="1"/>
  <c r="R29" i="1"/>
  <c r="P31" i="1"/>
  <c r="N33" i="1"/>
  <c r="U34" i="1"/>
  <c r="Q26" i="1"/>
  <c r="M30" i="1"/>
  <c r="T31" i="1"/>
  <c r="R26" i="1"/>
  <c r="R38" i="1" s="1" a="1"/>
  <c r="R38" i="1" s="1"/>
  <c r="P28" i="1"/>
  <c r="N30" i="1"/>
  <c r="U31" i="1"/>
  <c r="S33" i="1"/>
  <c r="N26" i="1"/>
  <c r="U27" i="1"/>
  <c r="S29" i="1"/>
  <c r="Q31" i="1"/>
  <c r="O33" i="1"/>
  <c r="O26" i="1"/>
  <c r="M28" i="1"/>
  <c r="T29" i="1"/>
  <c r="R31" i="1"/>
  <c r="P33" i="1"/>
  <c r="P26" i="1"/>
  <c r="Q33" i="1"/>
  <c r="O28" i="1"/>
  <c r="R33" i="1"/>
  <c r="N28" i="1"/>
  <c r="U29" i="1"/>
  <c r="S31" i="1"/>
  <c r="T26" i="1"/>
  <c r="R28" i="1"/>
  <c r="P30" i="1"/>
  <c r="N32" i="1"/>
  <c r="U33" i="1"/>
  <c r="M27" i="1"/>
  <c r="T28" i="1"/>
  <c r="R30" i="1"/>
  <c r="P32" i="1"/>
  <c r="N34" i="1"/>
  <c r="U26" i="1"/>
  <c r="S28" i="1"/>
  <c r="Q30" i="1"/>
  <c r="O32" i="1"/>
  <c r="M34" i="1"/>
  <c r="N27" i="1"/>
  <c r="U28" i="1"/>
  <c r="S30" i="1"/>
  <c r="Q32" i="1"/>
  <c r="O34" i="1"/>
  <c r="O27" i="1"/>
  <c r="M29" i="1"/>
  <c r="T30" i="1"/>
  <c r="R32" i="1"/>
  <c r="P34" i="1"/>
  <c r="P27" i="1"/>
  <c r="U30" i="1"/>
  <c r="Q34" i="1"/>
  <c r="Q27" i="1"/>
  <c r="O29" i="1"/>
  <c r="M31" i="1"/>
  <c r="T32" i="1"/>
  <c r="R34" i="1"/>
  <c r="S26" i="1"/>
  <c r="Q28" i="1"/>
  <c r="O30" i="1"/>
  <c r="M32" i="1"/>
  <c r="T33" i="1"/>
  <c r="N29" i="1"/>
  <c r="S32" i="1"/>
  <c r="R27" i="1"/>
  <c r="P29" i="1"/>
  <c r="N31" i="1"/>
  <c r="U32" i="1"/>
  <c r="S34" i="1"/>
  <c r="U37" i="1" l="1" a="1"/>
  <c r="U37" i="1" s="1"/>
  <c r="S37" i="1" a="1"/>
  <c r="S37" i="1" s="1"/>
  <c r="Q37" i="1" a="1"/>
  <c r="Q37" i="1" s="1"/>
  <c r="M37" i="1"/>
  <c r="T38" i="1" a="1"/>
  <c r="T38" i="1" s="1"/>
  <c r="P38" i="1" a="1"/>
  <c r="P38" i="1" s="1"/>
  <c r="O37" i="1" a="1"/>
  <c r="O37" i="1" s="1"/>
  <c r="N38" i="1" a="1"/>
  <c r="N38" i="1" s="1"/>
  <c r="Y57" i="1" l="1"/>
  <c r="Y52" i="1"/>
  <c r="AA67" i="1" s="1"/>
  <c r="Y58" i="1"/>
  <c r="Y59" i="1"/>
  <c r="Y51" i="1"/>
  <c r="Y53" i="1"/>
  <c r="Y54" i="1"/>
  <c r="Y55" i="1"/>
  <c r="Y56" i="1"/>
  <c r="X58" i="1"/>
  <c r="X51" i="1"/>
  <c r="X59" i="1"/>
  <c r="X52" i="1"/>
  <c r="X54" i="1"/>
  <c r="X55" i="1"/>
  <c r="X56" i="1"/>
  <c r="X53" i="1"/>
  <c r="X57" i="1"/>
  <c r="AC67" i="1" l="1"/>
  <c r="AA68" i="1"/>
  <c r="X67" i="1"/>
  <c r="X62" i="1" a="1"/>
  <c r="X62" i="1" s="1"/>
  <c r="W67" i="1"/>
  <c r="W66" i="1"/>
  <c r="Y66" i="1"/>
  <c r="W62" i="1" a="1"/>
  <c r="W62" i="1" s="1"/>
  <c r="X66" i="1"/>
  <c r="AB67" i="1"/>
  <c r="AB62" i="1" a="1"/>
  <c r="AB62" i="1" s="1"/>
  <c r="AA66" i="1"/>
  <c r="AB66" i="1"/>
  <c r="AC66" i="1"/>
  <c r="AA62" i="1" a="1"/>
  <c r="AA62" i="1" s="1"/>
  <c r="Y62" i="1" a="1"/>
  <c r="Y62" i="1" s="1"/>
  <c r="X68" i="1"/>
  <c r="Y67" i="1"/>
  <c r="W68" i="1"/>
  <c r="AB68" i="1"/>
  <c r="AC62" i="1" a="1"/>
  <c r="AC62" i="1" s="1"/>
  <c r="X70" i="1" l="1"/>
  <c r="AB70" i="1"/>
  <c r="Z71" i="1" l="1"/>
  <c r="C26" i="1" s="1"/>
  <c r="G2" i="1" s="1"/>
  <c r="L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<sst xmlns="http://schemas.openxmlformats.org/spreadsheetml/2006/main" count="21" uniqueCount="12">
  <si>
    <t>x</t>
  </si>
  <si>
    <t>o</t>
  </si>
  <si>
    <t>x board</t>
  </si>
  <si>
    <t>o board</t>
  </si>
  <si>
    <t>X</t>
  </si>
  <si>
    <t>O</t>
  </si>
  <si>
    <t>Cats</t>
  </si>
  <si>
    <t>TURN:</t>
  </si>
  <si>
    <t>0=x</t>
  </si>
  <si>
    <t>1=0</t>
  </si>
  <si>
    <t>-1=none</t>
  </si>
  <si>
    <t>Win: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</si>
</sst>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&quot;TRUEs&quot;;[=0]&quot;FALSE&quot;\ "/>
    <numFmt numFmtId="165" formatCode="&quot;Green to Reset&quot;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40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 diagonalUp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2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2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0" borderId="11" xfId="0" applyBorder="1"/>
    <xf numFmtId="0" fontId="0" fillId="0" borderId="16" xfId="0" applyBorder="1"/>
    <xf numFmtId="0" fontId="0" fillId="2" borderId="3" xfId="0" applyFill="1" applyBorder="1"/>
    <xf numFmtId="0" fontId="0" fillId="0" borderId="0" xfId="0" quotePrefix="1" applyAlignment="1">
      <alignment vertical="center"/>
    </xf>
    <xf numFmtId="0" fontId="0" fillId="0" borderId="10" xfId="0" applyBorder="1" applyAlignment="1">
      <alignment vertical="center"/>
    </xf>
    <xf numFmtId="0" fontId="2" fillId="0" borderId="1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/>
    </xf>
    <xf numFmtId="164" fontId="0" fillId="4" borderId="3" xfId="0" applyNumberFormat="1" applyFill="1" applyBorder="1" applyAlignment="1">
      <alignment vertical="center"/>
    </xf>
    <xf numFmtId="0" fontId="2" fillId="0" borderId="9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center"/>
    </xf>
    <xf numFmtId="0" fontId="0" fillId="0" borderId="19" xfId="0" applyBorder="1"/>
    <xf numFmtId="0" fontId="0" fillId="3" borderId="3" xfId="0" applyFill="1" applyBorder="1"/>
    <xf numFmtId="0" fontId="0" fillId="0" borderId="1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/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0" borderId="2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vertical="center"/>
    </xf>
    <xf numFmtId="0" fontId="0" fillId="0" borderId="24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2">
    <dxf>
      <font>
        <color theme="0"/>
      </font>
    </dxf>
    <dxf>
      <font>
        <color theme="1"/>
      </font>
      <numFmt numFmtId="166" formatCode="&quot;Green to Start&quot;"/>
    </dxf>
    <dxf>
      <font>
        <color theme="1"/>
      </font>
      <numFmt numFmtId="167" formatCode="&quot;Gray to Reset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/>
        </patternFill>
      </fill>
    </dxf>
    <dxf>
      <font>
        <color theme="2"/>
      </font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rgb="FF00B0F0"/>
      </font>
      <fill>
        <patternFill>
          <bgColor rgb="FF00B0F0"/>
        </patternFill>
      </fill>
    </dxf>
    <dxf>
      <font>
        <u val="none"/>
        <color rgb="FFFF0000"/>
      </font>
      <fill>
        <patternFill>
          <bgColor rgb="FFFF0000"/>
        </patternFill>
      </fill>
    </dxf>
    <dxf>
      <font>
        <u val="none"/>
        <color theme="2"/>
      </font>
      <fill>
        <patternFill>
          <bgColor theme="2"/>
        </patternFill>
      </fill>
    </dxf>
    <dxf>
      <font>
        <color rgb="FF00B0F0"/>
      </font>
      <fill>
        <patternFill>
          <fgColor auto="1"/>
          <bgColor rgb="FF00B0F0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FFFF00"/>
      </font>
      <fill>
        <patternFill>
          <fgColor auto="1"/>
          <bgColor rgb="FFFFFF00"/>
        </patternFill>
      </fill>
    </dxf>
    <dxf>
      <font>
        <b val="0"/>
        <i val="0"/>
        <strike val="0"/>
        <color theme="0"/>
      </font>
      <fill>
        <patternFill>
          <bgColor theme="0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b val="0"/>
        <i val="0"/>
        <strike val="0"/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fgColor auto="1"/>
          <bgColor theme="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957F-140F-5F43-8AFA-9037A1B6E755}">
  <dimension ref="A1:CA133"/>
  <sheetViews>
    <sheetView tabSelected="1" zoomScale="272" zoomScaleNormal="184" workbookViewId="0">
      <selection activeCell="AG3" sqref="AG3"/>
    </sheetView>
  </sheetViews>
  <sheetFormatPr baseColWidth="10" defaultRowHeight="16" x14ac:dyDescent="0.2"/>
  <cols>
    <col min="1" max="1" width="4.33203125" customWidth="1"/>
    <col min="2" max="5" width="4.83203125" customWidth="1"/>
    <col min="6" max="6" width="5" customWidth="1"/>
    <col min="7" max="8" width="5.5" hidden="1" customWidth="1"/>
    <col min="9" max="9" width="4.6640625" hidden="1" customWidth="1"/>
    <col min="10" max="10" width="5.83203125" hidden="1" customWidth="1"/>
    <col min="11" max="11" width="6.33203125" hidden="1" customWidth="1"/>
    <col min="12" max="32" width="10.83203125" hidden="1" customWidth="1"/>
    <col min="33" max="33" width="15.5" customWidth="1"/>
    <col min="34" max="34" width="14.1640625" customWidth="1"/>
  </cols>
  <sheetData>
    <row r="1" spans="1:79" ht="17" thickBot="1" x14ac:dyDescent="0.25">
      <c r="A1" s="4"/>
      <c r="B1" s="8"/>
      <c r="C1" s="4"/>
      <c r="D1" s="4"/>
      <c r="E1" s="12"/>
      <c r="F1" s="2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2"/>
    </row>
    <row r="2" spans="1:79" ht="28" customHeight="1" thickTop="1" thickBot="1" x14ac:dyDescent="5.75">
      <c r="A2" s="4"/>
      <c r="B2" s="22" t="b">
        <v>0</v>
      </c>
      <c r="C2" s="21" t="b">
        <v>0</v>
      </c>
      <c r="D2" s="32" t="b">
        <v>1</v>
      </c>
      <c r="E2" s="34" t="b">
        <v>1</v>
      </c>
      <c r="F2" s="33" t="b">
        <v>0</v>
      </c>
      <c r="G2" s="31" t="b">
        <f>AND(NOT($C$22=""),$C$26="")</f>
        <v>0</v>
      </c>
      <c r="H2" s="27" t="b">
        <f t="shared" ref="H2:H10" si="0">IF($F$2,$H2,$B2)</f>
        <v>0</v>
      </c>
      <c r="I2" s="2" t="b" cm="1">
        <f t="array" ref="I2:I10">B2:B10</f>
        <v>0</v>
      </c>
      <c r="J2" s="19" t="b">
        <f>IF($F$2,IF(($G$2),IF(J2=FALSE,_xlfn.XOR(H2,I2),TRUE),J2),_xlfn.XOR(H2,I2))</f>
        <v>0</v>
      </c>
      <c r="K2" s="2"/>
      <c r="L2" s="2"/>
      <c r="AG2" s="30">
        <v>1</v>
      </c>
      <c r="AH2" s="35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28" customHeight="1" thickTop="1" x14ac:dyDescent="5.7">
      <c r="A3" s="4"/>
      <c r="B3" s="18" t="b">
        <v>0</v>
      </c>
      <c r="C3" s="5" t="b">
        <v>1</v>
      </c>
      <c r="D3" s="7" t="b">
        <v>1</v>
      </c>
      <c r="E3" s="1" t="b">
        <v>1</v>
      </c>
      <c r="F3" s="13"/>
      <c r="G3" s="4"/>
      <c r="H3" s="19" t="b">
        <f t="shared" si="0"/>
        <v>0</v>
      </c>
      <c r="I3" s="19" t="b">
        <v>0</v>
      </c>
      <c r="J3" s="19" t="b">
        <f t="shared" ref="J3:J10" si="1">IF($F$2,IF(($G$2),IF(J3=FALSE,_xlfn.XOR(H3,I3),TRUE),J3),_xlfn.XOR(H3,I3))</f>
        <v>0</v>
      </c>
      <c r="K3" s="19"/>
      <c r="L3" s="1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9"/>
      <c r="AH3" s="12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8" customHeight="1" thickBot="1" x14ac:dyDescent="5.75">
      <c r="A4" s="4"/>
      <c r="B4" s="23" t="b">
        <v>0</v>
      </c>
      <c r="C4" s="6" t="b">
        <v>0</v>
      </c>
      <c r="D4" s="3" t="b">
        <v>1</v>
      </c>
      <c r="E4" s="1" t="b">
        <v>0</v>
      </c>
      <c r="F4" s="13"/>
      <c r="H4" s="28" t="b">
        <f t="shared" si="0"/>
        <v>0</v>
      </c>
      <c r="I4" s="28" t="b">
        <v>0</v>
      </c>
      <c r="J4" s="19" t="b">
        <f t="shared" si="1"/>
        <v>0</v>
      </c>
      <c r="K4" s="28"/>
      <c r="L4" s="2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20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idden="1" x14ac:dyDescent="0.2">
      <c r="A5" s="4"/>
      <c r="B5" t="b" cm="1">
        <f t="array" ref="B5:B7">C2:C4</f>
        <v>0</v>
      </c>
      <c r="F5" s="4"/>
      <c r="H5" s="19" t="b">
        <f t="shared" si="0"/>
        <v>0</v>
      </c>
      <c r="I5" s="19" t="b">
        <v>0</v>
      </c>
      <c r="J5" s="19" t="b">
        <f t="shared" si="1"/>
        <v>0</v>
      </c>
      <c r="K5" s="19"/>
      <c r="L5" s="1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idden="1" x14ac:dyDescent="0.2">
      <c r="A6" s="4"/>
      <c r="B6" t="b">
        <v>1</v>
      </c>
      <c r="F6" s="4"/>
      <c r="H6" s="19" t="b">
        <f t="shared" si="0"/>
        <v>1</v>
      </c>
      <c r="I6" s="19" t="b">
        <v>1</v>
      </c>
      <c r="J6" s="19" t="b">
        <f t="shared" si="1"/>
        <v>0</v>
      </c>
      <c r="K6" s="19"/>
      <c r="L6" s="1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idden="1" x14ac:dyDescent="0.2">
      <c r="A7" s="4"/>
      <c r="B7" t="b">
        <v>0</v>
      </c>
      <c r="F7" s="4"/>
      <c r="H7" s="19" t="b">
        <f t="shared" si="0"/>
        <v>0</v>
      </c>
      <c r="I7" s="19" t="b">
        <v>0</v>
      </c>
      <c r="J7" s="19" t="b">
        <f t="shared" si="1"/>
        <v>0</v>
      </c>
      <c r="K7" s="19"/>
      <c r="L7" s="1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idden="1" x14ac:dyDescent="0.2">
      <c r="A8" s="4"/>
      <c r="B8" t="b" cm="1">
        <f t="array" ref="B8:B10">D2:D4</f>
        <v>1</v>
      </c>
      <c r="F8" s="4"/>
      <c r="H8" s="4" t="b">
        <f t="shared" si="0"/>
        <v>1</v>
      </c>
      <c r="I8" s="4" t="b">
        <v>1</v>
      </c>
      <c r="J8" s="19" t="b">
        <f t="shared" si="1"/>
        <v>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idden="1" x14ac:dyDescent="0.2">
      <c r="A9" s="4"/>
      <c r="B9" t="b">
        <v>1</v>
      </c>
      <c r="F9" s="4"/>
      <c r="H9" s="4" t="b">
        <f t="shared" si="0"/>
        <v>1</v>
      </c>
      <c r="I9" s="4" t="b">
        <v>1</v>
      </c>
      <c r="J9" s="19" t="b">
        <f t="shared" si="1"/>
        <v>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idden="1" x14ac:dyDescent="0.2">
      <c r="A10" s="4"/>
      <c r="B10" t="b">
        <v>1</v>
      </c>
      <c r="F10" s="4"/>
      <c r="H10" s="4" t="b">
        <f t="shared" si="0"/>
        <v>1</v>
      </c>
      <c r="I10" s="4" t="b">
        <v>1</v>
      </c>
      <c r="J10" s="19" t="b">
        <f t="shared" si="1"/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idden="1" x14ac:dyDescent="0.2">
      <c r="A11" s="4"/>
      <c r="F11" s="4"/>
      <c r="H11" s="4"/>
      <c r="I11" s="4"/>
      <c r="J11" s="4"/>
      <c r="K11" s="4" t="b">
        <f>COUNTIF(J2:J10,TRUE)=0</f>
        <v>1</v>
      </c>
      <c r="L11" s="4">
        <f ca="1">L11+1</f>
        <v>1553000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idden="1" x14ac:dyDescent="0.2">
      <c r="A12" s="4"/>
      <c r="F12" s="4"/>
      <c r="G12" s="4"/>
      <c r="H12" s="4"/>
      <c r="I12" s="4"/>
      <c r="J12" s="4"/>
      <c r="K12" s="4">
        <v>1</v>
      </c>
      <c r="L12" s="15" t="b">
        <f t="shared" ref="L12:L20" si="2">COUNTIF(J$2:J$10,TRUE)=K12</f>
        <v>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idden="1" x14ac:dyDescent="0.2">
      <c r="A13" s="4"/>
      <c r="F13" s="4"/>
      <c r="G13" s="4"/>
      <c r="H13" s="4"/>
      <c r="I13" s="4"/>
      <c r="J13" s="4"/>
      <c r="K13" s="4">
        <v>2</v>
      </c>
      <c r="L13" s="15" t="b">
        <f t="shared" si="2"/>
        <v>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idden="1" x14ac:dyDescent="0.2">
      <c r="A14" s="4"/>
      <c r="F14" s="4"/>
      <c r="H14" s="4"/>
      <c r="I14" s="4"/>
      <c r="J14" s="4"/>
      <c r="K14" s="4">
        <v>3</v>
      </c>
      <c r="L14" s="15" t="b">
        <f t="shared" si="2"/>
        <v>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idden="1" x14ac:dyDescent="0.2">
      <c r="A15" s="4"/>
      <c r="F15" s="4"/>
      <c r="G15" s="4"/>
      <c r="H15" s="4"/>
      <c r="I15" s="4"/>
      <c r="J15" s="4"/>
      <c r="K15" s="4">
        <v>4</v>
      </c>
      <c r="L15" s="15" t="b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idden="1" x14ac:dyDescent="0.2">
      <c r="A16" s="4"/>
      <c r="F16" s="4"/>
      <c r="G16" s="4"/>
      <c r="H16" s="4"/>
      <c r="I16" s="4"/>
      <c r="J16" s="4"/>
      <c r="K16" s="4">
        <v>5</v>
      </c>
      <c r="L16" s="15" t="b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idden="1" x14ac:dyDescent="0.2">
      <c r="A17" s="4"/>
      <c r="F17" s="4"/>
      <c r="G17" s="4"/>
      <c r="H17" s="4"/>
      <c r="I17" s="4"/>
      <c r="J17" s="4"/>
      <c r="K17" s="4">
        <v>6</v>
      </c>
      <c r="L17" s="15" t="b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idden="1" x14ac:dyDescent="0.2">
      <c r="A18" s="4"/>
      <c r="F18" s="4"/>
      <c r="G18" s="4"/>
      <c r="H18" s="4"/>
      <c r="I18" s="4"/>
      <c r="J18" s="4"/>
      <c r="K18" s="4">
        <v>7</v>
      </c>
      <c r="L18" s="15" t="b">
        <f t="shared" si="2"/>
        <v>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idden="1" x14ac:dyDescent="0.2">
      <c r="A19" s="4"/>
      <c r="F19" s="4"/>
      <c r="G19" s="4"/>
      <c r="H19" s="4"/>
      <c r="I19" s="4"/>
      <c r="J19" s="4"/>
      <c r="K19" s="4">
        <v>8</v>
      </c>
      <c r="L19" s="15" t="b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idden="1" x14ac:dyDescent="0.2">
      <c r="A20" s="4"/>
      <c r="F20" s="4"/>
      <c r="G20" s="4"/>
      <c r="H20" s="4"/>
      <c r="I20" s="4"/>
      <c r="J20" s="4"/>
      <c r="K20" s="4">
        <v>9</v>
      </c>
      <c r="L20" s="15" t="b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17" thickBot="1" x14ac:dyDescent="0.25">
      <c r="A21" s="4"/>
      <c r="B21" s="8"/>
      <c r="C21" s="12"/>
      <c r="D21" s="4"/>
      <c r="E21" s="4"/>
      <c r="F21" s="4"/>
      <c r="G21" s="4"/>
      <c r="H21" s="4"/>
      <c r="I21" s="4"/>
      <c r="J21" s="4"/>
      <c r="K21" s="4"/>
      <c r="L21" s="1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29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9" customHeight="1" thickTop="1" thickBot="1" x14ac:dyDescent="0.25">
      <c r="A22" s="4"/>
      <c r="B22" s="36" t="s">
        <v>7</v>
      </c>
      <c r="C22" s="37" t="str">
        <f>IF(F2=TRUE,IF((C26=""),IF(COUNTIF(J$2:J$10,TRUE)=9,-1,MOD(COUNTIF(J$2:J$10,TRUE),2)),""),"")</f>
        <v/>
      </c>
      <c r="D22" s="10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13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hidden="1" x14ac:dyDescent="0.2">
      <c r="A23" s="4"/>
      <c r="B23" s="2"/>
      <c r="C23" s="2" t="s">
        <v>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idden="1" x14ac:dyDescent="0.2">
      <c r="A24" s="4"/>
      <c r="B24" s="2"/>
      <c r="C24" s="2" t="s">
        <v>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idden="1" x14ac:dyDescent="0.2">
      <c r="A25" s="4"/>
      <c r="B25" s="2"/>
      <c r="C25" s="16" t="s">
        <v>10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9" customHeight="1" x14ac:dyDescent="0.2">
      <c r="A26" s="4"/>
      <c r="B26" s="24" t="s">
        <v>11</v>
      </c>
      <c r="C26" s="17" t="str">
        <f>IF(X70,0,IF(AB70,1,IF(Z71,"Cats","")))</f>
        <v/>
      </c>
      <c r="D26" s="13"/>
      <c r="E26" s="13"/>
      <c r="F26" s="4"/>
      <c r="G26" s="4"/>
      <c r="H26" s="4"/>
      <c r="I26" s="4"/>
      <c r="J26" s="4"/>
      <c r="K26" s="4"/>
      <c r="L26" s="4">
        <v>1</v>
      </c>
      <c r="M26" s="4" t="b">
        <f t="shared" ref="M26:M34" si="3">IF($K$11,FALSE,IF($L$12,$J2,M26))</f>
        <v>0</v>
      </c>
      <c r="N26" s="4" t="b">
        <f t="shared" ref="N26:N34" si="4">IF($K$11,FALSE,IF($L$13,$J2,N26))</f>
        <v>0</v>
      </c>
      <c r="O26" s="4" t="b">
        <f t="shared" ref="O26:O34" si="5">IF($K$11,FALSE,IF($L$14,$J2,O26))</f>
        <v>0</v>
      </c>
      <c r="P26" s="4" t="b">
        <f t="shared" ref="P26:P34" si="6">IF($K$11,FALSE,IF($L$15,$J2,P26))</f>
        <v>0</v>
      </c>
      <c r="Q26" s="4" t="b">
        <f t="shared" ref="Q26:Q34" si="7">IF($K$11,FALSE,IF($L$16,$J2,Q26))</f>
        <v>0</v>
      </c>
      <c r="R26" s="4" t="b">
        <f t="shared" ref="R26:R34" si="8">IF($K$11,FALSE,IF($L$17,$J2,R26))</f>
        <v>0</v>
      </c>
      <c r="S26" s="4" t="b">
        <f t="shared" ref="S26:S34" si="9">IF($K$11,FALSE,IF($L$18,$J2,S26))</f>
        <v>0</v>
      </c>
      <c r="T26" s="4" t="b">
        <f t="shared" ref="T26:T34" si="10">IF($K$11,FALSE,IF($L$19,$J2,T26))</f>
        <v>0</v>
      </c>
      <c r="U26" s="4" t="b">
        <f t="shared" ref="U26:U34" si="11">IF($K$11,FALSE,IF($L$20,$J2,U26))</f>
        <v>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1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2">
      <c r="A27" s="12"/>
      <c r="B27" s="11"/>
      <c r="C27" s="12"/>
      <c r="D27" s="25"/>
      <c r="E27" s="25"/>
      <c r="F27" s="12"/>
      <c r="G27" s="12"/>
      <c r="H27" s="12"/>
      <c r="I27" s="12"/>
      <c r="J27" s="12"/>
      <c r="K27" s="12"/>
      <c r="L27" s="12">
        <v>2</v>
      </c>
      <c r="M27" s="12" t="b">
        <f t="shared" si="3"/>
        <v>0</v>
      </c>
      <c r="N27" s="12" t="b">
        <f t="shared" si="4"/>
        <v>0</v>
      </c>
      <c r="O27" s="12" t="b">
        <f t="shared" si="5"/>
        <v>0</v>
      </c>
      <c r="P27" s="12" t="b">
        <f t="shared" si="6"/>
        <v>0</v>
      </c>
      <c r="Q27" s="12" t="b">
        <f t="shared" si="7"/>
        <v>0</v>
      </c>
      <c r="R27" s="12" t="b">
        <f t="shared" si="8"/>
        <v>0</v>
      </c>
      <c r="S27" s="12" t="b">
        <f t="shared" si="9"/>
        <v>0</v>
      </c>
      <c r="T27" s="12" t="b">
        <f t="shared" si="10"/>
        <v>0</v>
      </c>
      <c r="U27" s="12" t="b">
        <f t="shared" si="11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>
        <v>3</v>
      </c>
      <c r="M28" s="4" t="b">
        <f t="shared" si="3"/>
        <v>0</v>
      </c>
      <c r="N28" s="4" t="b">
        <f t="shared" si="4"/>
        <v>0</v>
      </c>
      <c r="O28" s="4" t="b">
        <f t="shared" si="5"/>
        <v>0</v>
      </c>
      <c r="P28" s="4" t="b">
        <f t="shared" si="6"/>
        <v>0</v>
      </c>
      <c r="Q28" s="4" t="b">
        <f t="shared" si="7"/>
        <v>0</v>
      </c>
      <c r="R28" s="4" t="b">
        <f t="shared" si="8"/>
        <v>0</v>
      </c>
      <c r="S28" s="4" t="b">
        <f t="shared" si="9"/>
        <v>0</v>
      </c>
      <c r="T28" s="4" t="b">
        <f t="shared" si="10"/>
        <v>0</v>
      </c>
      <c r="U28" s="4" t="b">
        <f t="shared" si="11"/>
        <v>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>
        <v>4</v>
      </c>
      <c r="M29" s="4" t="b">
        <f t="shared" si="3"/>
        <v>0</v>
      </c>
      <c r="N29" s="4" t="b">
        <f t="shared" si="4"/>
        <v>0</v>
      </c>
      <c r="O29" s="4" t="b">
        <f t="shared" si="5"/>
        <v>0</v>
      </c>
      <c r="P29" s="4" t="b">
        <f t="shared" si="6"/>
        <v>0</v>
      </c>
      <c r="Q29" s="4" t="b">
        <f t="shared" si="7"/>
        <v>0</v>
      </c>
      <c r="R29" s="4" t="b">
        <f t="shared" si="8"/>
        <v>0</v>
      </c>
      <c r="S29" s="4" t="b">
        <f t="shared" si="9"/>
        <v>0</v>
      </c>
      <c r="T29" s="4" t="b">
        <f t="shared" si="10"/>
        <v>0</v>
      </c>
      <c r="U29" s="4" t="b">
        <f t="shared" si="11"/>
        <v>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>
        <v>5</v>
      </c>
      <c r="M30" s="4" t="b">
        <f t="shared" si="3"/>
        <v>0</v>
      </c>
      <c r="N30" s="4" t="b">
        <f t="shared" si="4"/>
        <v>0</v>
      </c>
      <c r="O30" s="4" t="b">
        <f t="shared" si="5"/>
        <v>0</v>
      </c>
      <c r="P30" s="4" t="b">
        <f t="shared" si="6"/>
        <v>0</v>
      </c>
      <c r="Q30" s="4" t="b">
        <f t="shared" si="7"/>
        <v>0</v>
      </c>
      <c r="R30" s="4" t="b">
        <f t="shared" si="8"/>
        <v>0</v>
      </c>
      <c r="S30" s="4" t="b">
        <f t="shared" si="9"/>
        <v>0</v>
      </c>
      <c r="T30" s="4" t="b">
        <f t="shared" si="10"/>
        <v>0</v>
      </c>
      <c r="U30" s="4" t="b">
        <f t="shared" si="11"/>
        <v>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>
        <v>6</v>
      </c>
      <c r="M31" s="4" t="b">
        <f t="shared" si="3"/>
        <v>0</v>
      </c>
      <c r="N31" s="4" t="b">
        <f t="shared" si="4"/>
        <v>0</v>
      </c>
      <c r="O31" s="4" t="b">
        <f t="shared" si="5"/>
        <v>0</v>
      </c>
      <c r="P31" s="4" t="b">
        <f t="shared" si="6"/>
        <v>0</v>
      </c>
      <c r="Q31" s="4" t="b">
        <f t="shared" si="7"/>
        <v>0</v>
      </c>
      <c r="R31" s="4" t="b">
        <f t="shared" si="8"/>
        <v>0</v>
      </c>
      <c r="S31" s="4" t="b">
        <f t="shared" si="9"/>
        <v>0</v>
      </c>
      <c r="T31" s="4" t="b">
        <f t="shared" si="10"/>
        <v>0</v>
      </c>
      <c r="U31" s="4" t="b">
        <f t="shared" si="11"/>
        <v>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>
        <v>7</v>
      </c>
      <c r="M32" s="4" t="b">
        <f t="shared" si="3"/>
        <v>0</v>
      </c>
      <c r="N32" s="4" t="b">
        <f t="shared" si="4"/>
        <v>0</v>
      </c>
      <c r="O32" s="4" t="b">
        <f t="shared" si="5"/>
        <v>0</v>
      </c>
      <c r="P32" s="4" t="b">
        <f t="shared" si="6"/>
        <v>0</v>
      </c>
      <c r="Q32" s="4" t="b">
        <f t="shared" si="7"/>
        <v>0</v>
      </c>
      <c r="R32" s="4" t="b">
        <f t="shared" si="8"/>
        <v>0</v>
      </c>
      <c r="S32" s="4" t="b">
        <f t="shared" si="9"/>
        <v>0</v>
      </c>
      <c r="T32" s="4" t="b">
        <f t="shared" si="10"/>
        <v>0</v>
      </c>
      <c r="U32" s="4" t="b">
        <f t="shared" si="11"/>
        <v>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>
        <v>8</v>
      </c>
      <c r="M33" s="4" t="b">
        <f t="shared" si="3"/>
        <v>0</v>
      </c>
      <c r="N33" s="4" t="b">
        <f t="shared" si="4"/>
        <v>0</v>
      </c>
      <c r="O33" s="4" t="b">
        <f t="shared" si="5"/>
        <v>0</v>
      </c>
      <c r="P33" s="4" t="b">
        <f t="shared" si="6"/>
        <v>0</v>
      </c>
      <c r="Q33" s="4" t="b">
        <f t="shared" si="7"/>
        <v>0</v>
      </c>
      <c r="R33" s="4" t="b">
        <f t="shared" si="8"/>
        <v>0</v>
      </c>
      <c r="S33" s="4" t="b">
        <f t="shared" si="9"/>
        <v>0</v>
      </c>
      <c r="T33" s="4" t="b">
        <f t="shared" si="10"/>
        <v>0</v>
      </c>
      <c r="U33" s="4" t="b">
        <f t="shared" si="11"/>
        <v>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>
        <v>9</v>
      </c>
      <c r="M34" s="4" t="b">
        <f t="shared" si="3"/>
        <v>0</v>
      </c>
      <c r="N34" s="4" t="b">
        <f t="shared" si="4"/>
        <v>0</v>
      </c>
      <c r="O34" s="4" t="b">
        <f t="shared" si="5"/>
        <v>0</v>
      </c>
      <c r="P34" s="4" t="b">
        <f t="shared" si="6"/>
        <v>0</v>
      </c>
      <c r="Q34" s="4" t="b">
        <f t="shared" si="7"/>
        <v>0</v>
      </c>
      <c r="R34" s="4" t="b">
        <f t="shared" si="8"/>
        <v>0</v>
      </c>
      <c r="S34" s="4" t="b">
        <f t="shared" si="9"/>
        <v>0</v>
      </c>
      <c r="T34" s="4" t="b">
        <f t="shared" si="10"/>
        <v>0</v>
      </c>
      <c r="U34" s="4" t="b">
        <f t="shared" si="11"/>
        <v>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6">
        <v>1</v>
      </c>
      <c r="N35" s="26">
        <v>2</v>
      </c>
      <c r="O35" s="26">
        <v>3</v>
      </c>
      <c r="P35" s="26">
        <v>4</v>
      </c>
      <c r="Q35" s="26">
        <v>5</v>
      </c>
      <c r="R35" s="26">
        <v>6</v>
      </c>
      <c r="S35" s="26">
        <v>7</v>
      </c>
      <c r="T35" s="26">
        <v>8</v>
      </c>
      <c r="U35" s="26">
        <v>9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0</v>
      </c>
      <c r="N36" s="4" t="s">
        <v>1</v>
      </c>
      <c r="O36" s="4" t="s">
        <v>0</v>
      </c>
      <c r="P36" s="4" t="s">
        <v>1</v>
      </c>
      <c r="Q36" s="4" t="s">
        <v>0</v>
      </c>
      <c r="R36" s="4" t="s">
        <v>1</v>
      </c>
      <c r="S36" s="4" t="s">
        <v>0</v>
      </c>
      <c r="T36" s="4" t="s">
        <v>1</v>
      </c>
      <c r="U36" s="4" t="s">
        <v>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>
        <f>IF(COUNTIF(M26:M34,TRUE),MATCH(TRUE, M26:M34, 0),0)</f>
        <v>0</v>
      </c>
      <c r="N37" s="4"/>
      <c r="O37" s="4" cm="1">
        <f t="array" ref="O37">IF(COUNTIF(O26:O34,TRUE)=O35,MATCH(TRUE, N26:N34&lt;&gt;O26:O34, 0),0)</f>
        <v>0</v>
      </c>
      <c r="P37" s="4"/>
      <c r="Q37" s="4" cm="1">
        <f t="array" ref="Q37">IF(COUNTIF(Q26:Q34,TRUE)=Q35,MATCH(TRUE, P26:P34&lt;&gt;Q26:Q34, 0),0)</f>
        <v>0</v>
      </c>
      <c r="R37" s="4"/>
      <c r="S37" s="4" cm="1">
        <f t="array" ref="S37">IF(COUNTIF(S26:S34,TRUE)=S35,MATCH(TRUE, R26:R34&lt;&gt;S26:S34, 0),0)</f>
        <v>0</v>
      </c>
      <c r="T37" s="4"/>
      <c r="U37" s="4" cm="1">
        <f t="array" ref="U37">IF(COUNTIF(U26:U34,TRUE),MATCH(TRUE, T26:T34&lt;&gt;U26:U34, 0),IF(L20,MATCH(FALSE,T26:T34,0),0))</f>
        <v>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cm="1">
        <f t="array" ref="N38">IF(COUNTIF(N26:N34,TRUE)=N35,MATCH(TRUE, M26:M34&lt;&gt;N26:N34, 0),0)</f>
        <v>0</v>
      </c>
      <c r="O38" s="4"/>
      <c r="P38" s="4" cm="1">
        <f t="array" ref="P38">IF(COUNTIF(P26:P34,TRUE)=P35,MATCH(TRUE, O26:O34&lt;&gt;P26:P34, 0),0)</f>
        <v>0</v>
      </c>
      <c r="Q38" s="4"/>
      <c r="R38" s="4" cm="1">
        <f t="array" ref="R38">IF(COUNTIF(R26:R34,TRUE)=R35,MATCH(TRUE, Q26:Q34&lt;&gt;R26:R34, 0),0)</f>
        <v>0</v>
      </c>
      <c r="S38" s="4"/>
      <c r="T38" s="4" cm="1">
        <f t="array" ref="T38">IF(COUNTIF(T26:T34,TRUE)=T35,MATCH(TRUE, S26:S34&lt;&gt;T26:T34, 0),0)</f>
        <v>0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 t="s">
        <v>2</v>
      </c>
      <c r="Y50" s="4" t="s">
        <v>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>
        <v>1</v>
      </c>
      <c r="X51" s="4" t="b">
        <f t="shared" ref="X51:X59" si="12">COUNTIF($M$37:$U$37, W51)&gt;0</f>
        <v>0</v>
      </c>
      <c r="Y51" s="4" t="b">
        <f t="shared" ref="Y51:Y59" si="13">COUNTIF($M$38:$U$38, W51)&gt;0</f>
        <v>0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>
        <v>2</v>
      </c>
      <c r="X52" s="4" t="b">
        <f t="shared" si="12"/>
        <v>0</v>
      </c>
      <c r="Y52" s="4" t="b">
        <f t="shared" si="13"/>
        <v>0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>
        <v>3</v>
      </c>
      <c r="X53" s="4" t="b">
        <f t="shared" si="12"/>
        <v>0</v>
      </c>
      <c r="Y53" s="4" t="b">
        <f t="shared" si="13"/>
        <v>0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>
        <v>4</v>
      </c>
      <c r="X54" s="4" t="b">
        <f t="shared" si="12"/>
        <v>0</v>
      </c>
      <c r="Y54" s="4" t="b">
        <f t="shared" si="13"/>
        <v>0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>
        <v>5</v>
      </c>
      <c r="X55" s="4" t="b">
        <f t="shared" si="12"/>
        <v>0</v>
      </c>
      <c r="Y55" s="4" t="b">
        <f t="shared" si="13"/>
        <v>0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>
        <v>6</v>
      </c>
      <c r="X56" s="4" t="b">
        <f t="shared" si="12"/>
        <v>0</v>
      </c>
      <c r="Y56" s="4" t="b">
        <f t="shared" si="13"/>
        <v>0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>
        <v>7</v>
      </c>
      <c r="X57" s="4" t="b">
        <f t="shared" si="12"/>
        <v>0</v>
      </c>
      <c r="Y57" s="4" t="b">
        <f t="shared" si="13"/>
        <v>0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>
        <v>8</v>
      </c>
      <c r="X58" s="4" t="b">
        <f t="shared" si="12"/>
        <v>0</v>
      </c>
      <c r="Y58" s="4" t="b">
        <f t="shared" si="13"/>
        <v>0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>
        <v>9</v>
      </c>
      <c r="X59" s="4" t="b">
        <f t="shared" si="12"/>
        <v>0</v>
      </c>
      <c r="Y59" s="4" t="b">
        <f t="shared" si="13"/>
        <v>0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 t="s">
        <v>4</v>
      </c>
      <c r="Y61" s="4"/>
      <c r="Z61" s="4"/>
      <c r="AA61" s="4"/>
      <c r="AB61" s="4" t="s">
        <v>5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 t="b" cm="1">
        <f t="array" ref="W62:W64">X51:X53</f>
        <v>0</v>
      </c>
      <c r="X62" s="4" t="b" cm="1">
        <f t="array" ref="X62:X64">X54:X56</f>
        <v>0</v>
      </c>
      <c r="Y62" s="4" t="b" cm="1">
        <f t="array" ref="Y62:Y64">X57:X59</f>
        <v>0</v>
      </c>
      <c r="Z62" s="4"/>
      <c r="AA62" s="4" t="b" cm="1">
        <f t="array" ref="AA62:AA64">Y51:Y53</f>
        <v>0</v>
      </c>
      <c r="AB62" s="4" t="b" cm="1">
        <f t="array" ref="AB62:AB64">Y54:Y56</f>
        <v>0</v>
      </c>
      <c r="AC62" s="4" t="b" cm="1">
        <f t="array" ref="AC62:AC64">Y57:Y59</f>
        <v>0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 t="b">
        <v>0</v>
      </c>
      <c r="X63" s="4" t="b">
        <v>0</v>
      </c>
      <c r="Y63" s="4" t="b">
        <v>0</v>
      </c>
      <c r="Z63" s="4"/>
      <c r="AA63" s="4" t="b">
        <v>0</v>
      </c>
      <c r="AB63" s="4" t="b">
        <v>0</v>
      </c>
      <c r="AC63" s="4" t="b">
        <v>0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 t="b">
        <v>0</v>
      </c>
      <c r="X64" s="4" t="b">
        <v>0</v>
      </c>
      <c r="Y64" s="4" t="b">
        <v>0</v>
      </c>
      <c r="Z64" s="4"/>
      <c r="AA64" s="4" t="b">
        <v>0</v>
      </c>
      <c r="AB64" s="4" t="b">
        <v>0</v>
      </c>
      <c r="AC64" s="4" t="b">
        <v>0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 t="b">
        <f>AND(X51,X54,X57)</f>
        <v>0</v>
      </c>
      <c r="X66" s="4" t="b">
        <f>AND(X51:X53)</f>
        <v>0</v>
      </c>
      <c r="Y66" s="4" t="b">
        <f>AND(X51,X55,X59)</f>
        <v>0</v>
      </c>
      <c r="Z66" s="4"/>
      <c r="AA66" s="4" t="b">
        <f>AND(Y51,Y54,Y57)</f>
        <v>0</v>
      </c>
      <c r="AB66" s="4" t="b">
        <f>AND(Y51:Y53)</f>
        <v>0</v>
      </c>
      <c r="AC66" s="4" t="b">
        <f>AND(Y51,Y55,Y59)</f>
        <v>0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 t="b">
        <f>AND(X52,X55,X58)</f>
        <v>0</v>
      </c>
      <c r="X67" s="4" t="b">
        <f>AND(X54:X56)</f>
        <v>0</v>
      </c>
      <c r="Y67" s="4" t="b">
        <f>AND(X53,X55,X57)</f>
        <v>0</v>
      </c>
      <c r="Z67" s="4"/>
      <c r="AA67" s="4" t="b">
        <f t="shared" ref="AA67:AA68" si="14">AND(Y52,Y55,Y58)</f>
        <v>0</v>
      </c>
      <c r="AB67" s="4" t="b">
        <f>AND(Y54:Y56)</f>
        <v>0</v>
      </c>
      <c r="AC67" s="4" t="b">
        <f>AND(Y53,Y55,Y57)</f>
        <v>0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 t="b">
        <f>AND(X53,X56,X59)</f>
        <v>0</v>
      </c>
      <c r="X68" s="4" t="b">
        <f>AND(X57:X59)</f>
        <v>0</v>
      </c>
      <c r="Y68" s="4"/>
      <c r="Z68" s="4"/>
      <c r="AA68" s="4" t="b">
        <f t="shared" si="14"/>
        <v>0</v>
      </c>
      <c r="AB68" s="4" t="b">
        <f>AND(Y57:Y59)</f>
        <v>0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 t="b">
        <f>OR(W66:Y68)</f>
        <v>0</v>
      </c>
      <c r="Y70" s="4"/>
      <c r="Z70" s="4" t="s">
        <v>6</v>
      </c>
      <c r="AA70" s="4"/>
      <c r="AB70" s="4" t="b">
        <f>OR(AA66:AC68)</f>
        <v>0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 t="s">
        <v>4</v>
      </c>
      <c r="Y71" s="4"/>
      <c r="Z71" s="4" t="b">
        <f>AND(L20,NOT(X70),NOT(AB70))</f>
        <v>0</v>
      </c>
      <c r="AA71" s="4"/>
      <c r="AB71" s="4" t="s">
        <v>5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</sheetData>
  <conditionalFormatting sqref="B22">
    <cfRule type="expression" dxfId="21" priority="4">
      <formula>NOT(C26="")</formula>
    </cfRule>
    <cfRule type="expression" dxfId="20" priority="10">
      <formula>OR(C22=-1,F2=FALSE)</formula>
    </cfRule>
  </conditionalFormatting>
  <conditionalFormatting sqref="B26">
    <cfRule type="expression" dxfId="19" priority="5">
      <formula>C26=""</formula>
    </cfRule>
  </conditionalFormatting>
  <conditionalFormatting sqref="B2:E4">
    <cfRule type="expression" dxfId="18" priority="15" stopIfTrue="1">
      <formula>INDEX($AA$62:$AAB$1002, ROW()-ROW($B$2)+1, COLUMN()-COLUMN($B$2)+1)=TRUE</formula>
    </cfRule>
    <cfRule type="expression" dxfId="17" priority="17">
      <formula>INDEX($W$62:$AAB$1002, ROW()-ROW($B$2)+1, COLUMN()-COLUMN($B$2)+1)=TRUE</formula>
    </cfRule>
    <cfRule type="expression" dxfId="16" priority="21">
      <formula>AND(NOT(INDEX($AA$62:$AAB$1002, ROW()-ROW($B$2)+1, COLUMN()-COLUMN($B$2)+1)=TRUE),NOT(INDEX($W$62:$AAB$1002, ROW()-ROW($B$2)+1, COLUMN()-COLUMN($B$2)+1)=TRUE))</formula>
    </cfRule>
  </conditionalFormatting>
  <conditionalFormatting sqref="C22">
    <cfRule type="expression" dxfId="15" priority="6" stopIfTrue="1">
      <formula>NOT(ISBLANK(D26))</formula>
    </cfRule>
    <cfRule type="containsText" dxfId="14" priority="11" stopIfTrue="1" operator="containsText" text="0">
      <formula>NOT(ISERROR(SEARCH("0",C22)))</formula>
    </cfRule>
    <cfRule type="expression" dxfId="13" priority="12" stopIfTrue="1">
      <formula>C22=1</formula>
    </cfRule>
  </conditionalFormatting>
  <conditionalFormatting sqref="C26">
    <cfRule type="expression" dxfId="12" priority="7">
      <formula>$B$26=-1</formula>
    </cfRule>
    <cfRule type="expression" dxfId="11" priority="8">
      <formula>C26=0</formula>
    </cfRule>
    <cfRule type="expression" dxfId="10" priority="9" stopIfTrue="1">
      <formula>C26=1</formula>
    </cfRule>
  </conditionalFormatting>
  <conditionalFormatting sqref="C2:E2">
    <cfRule type="expression" dxfId="9" priority="19">
      <formula>X62=TRUE</formula>
    </cfRule>
  </conditionalFormatting>
  <conditionalFormatting sqref="F2">
    <cfRule type="containsText" dxfId="8" priority="13" operator="containsText" text="TRUE">
      <formula>NOT(ISERROR(SEARCH("TRUE",F2)))</formula>
    </cfRule>
    <cfRule type="containsText" dxfId="7" priority="14" stopIfTrue="1" operator="containsText" text="FALSE">
      <formula>NOT(ISERROR(SEARCH("FALSE",F2)))</formula>
    </cfRule>
  </conditionalFormatting>
  <conditionalFormatting sqref="L12:L21">
    <cfRule type="cellIs" dxfId="6" priority="22" operator="equal">
      <formula>TRUE</formula>
    </cfRule>
  </conditionalFormatting>
  <conditionalFormatting sqref="M26:U34">
    <cfRule type="containsText" dxfId="5" priority="16" operator="containsText" text="TRUE">
      <formula>NOT(ISERROR(SEARCH("TRUE",M26)))</formula>
    </cfRule>
  </conditionalFormatting>
  <conditionalFormatting sqref="W62:AC64">
    <cfRule type="cellIs" dxfId="4" priority="23" operator="equal">
      <formula>TRUE</formula>
    </cfRule>
  </conditionalFormatting>
  <conditionalFormatting sqref="X51:Z53">
    <cfRule type="cellIs" dxfId="3" priority="24" operator="equal">
      <formula>TRUE</formula>
    </cfRule>
  </conditionalFormatting>
  <conditionalFormatting sqref="AG2">
    <cfRule type="expression" dxfId="2" priority="1">
      <formula>F2=TRUE</formula>
    </cfRule>
    <cfRule type="expression" dxfId="1" priority="3">
      <formula>F2=FALSE</formula>
    </cfRule>
  </conditionalFormatting>
  <conditionalFormatting sqref="AG3">
    <cfRule type="expression" dxfId="0" priority="2">
      <formula>F2=FALSE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Caden</dc:creator>
  <cp:lastModifiedBy>Warren, Caden</cp:lastModifiedBy>
  <dcterms:created xsi:type="dcterms:W3CDTF">2026-01-26T06:39:41Z</dcterms:created>
  <dcterms:modified xsi:type="dcterms:W3CDTF">2026-07-01T19:35:05Z</dcterms:modified>
</cp:coreProperties>
</file>